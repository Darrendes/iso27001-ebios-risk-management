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30" tabRatio="600" firstSheet="3" activeTab="3" autoFilterDateGrouping="1"/>
  </bookViews>
  <sheets>
    <sheet xmlns:r="http://schemas.openxmlformats.org/officeDocument/2006/relationships" name="Contexte et Perimetre" sheetId="1" state="visible" r:id="rId1"/>
    <sheet xmlns:r="http://schemas.openxmlformats.org/officeDocument/2006/relationships" name="Ateliers EBIOS RM" sheetId="2" state="visible" r:id="rId2"/>
    <sheet xmlns:r="http://schemas.openxmlformats.org/officeDocument/2006/relationships" name="Registre des actifs" sheetId="3" state="visible" r:id="rId3"/>
    <sheet xmlns:r="http://schemas.openxmlformats.org/officeDocument/2006/relationships" name="Registre des risques" sheetId="4" state="visible" r:id="rId4"/>
    <sheet xmlns:r="http://schemas.openxmlformats.org/officeDocument/2006/relationships" name="Matrice de Criticite" sheetId="5" state="visible" r:id="rId5"/>
    <sheet xmlns:r="http://schemas.openxmlformats.org/officeDocument/2006/relationships" name="Heatmap ANSSI" sheetId="6" state="visible" r:id="rId6"/>
    <sheet xmlns:r="http://schemas.openxmlformats.org/officeDocument/2006/relationships" name="Cartographie des Risqu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1F4E78"/>
      <sz val="12"/>
    </font>
    <font>
      <name val="Calibri"/>
      <charset val="1"/>
      <family val="2"/>
      <b val="1"/>
      <sz val="11"/>
    </font>
    <font>
      <name val="Arial"/>
      <family val="2"/>
      <b val="1"/>
      <color rgb="FFFFFFFF"/>
      <sz val="13"/>
    </font>
    <font>
      <name val="Arial"/>
      <family val="2"/>
      <i val="1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theme="7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rgb="FFDEEBF7"/>
      </patternFill>
    </fill>
    <fill>
      <patternFill patternType="solid">
        <fgColor theme="7" tint="-0.249977111117893"/>
        <bgColor rgb="FF1F4E78"/>
      </patternFill>
    </fill>
    <fill>
      <patternFill patternType="solid">
        <fgColor theme="7" tint="-0.249977111117893"/>
        <bgColor rgb="FF0066CC"/>
      </patternFill>
    </fill>
    <fill>
      <patternFill patternType="solid">
        <fgColor theme="0"/>
        <bgColor rgb="FFDEEBF7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3FB"/>
      </patternFill>
    </fill>
    <fill>
      <patternFill patternType="solid">
        <fgColor rgb="FFED7D31"/>
        <bgColor rgb="FFFF6B6B"/>
      </patternFill>
    </fill>
    <fill>
      <patternFill patternType="solid">
        <fgColor rgb="FFFFD966"/>
        <bgColor rgb="FFFFE066"/>
      </patternFill>
    </fill>
    <fill>
      <patternFill patternType="solid">
        <fgColor theme="7" tint="-0.249977111117893"/>
        <bgColor rgb="FF1F3864"/>
      </patternFill>
    </fill>
    <fill>
      <patternFill patternType="solid">
        <fgColor theme="0"/>
        <bgColor theme="7" tint="0.7999816888943144"/>
      </patternFill>
    </fill>
    <fill>
      <patternFill patternType="solid">
        <fgColor rgb="FFFFE066"/>
        <bgColor rgb="FFFFD966"/>
      </patternFill>
    </fill>
    <fill>
      <patternFill patternType="solid">
        <fgColor rgb="FFFFC93C"/>
        <bgColor rgb="FFFFD966"/>
      </patternFill>
    </fill>
    <fill>
      <patternFill patternType="solid">
        <fgColor rgb="FFFF6B6B"/>
        <bgColor rgb="FFED7D31"/>
      </patternFill>
    </fill>
    <fill>
      <patternFill patternType="solid">
        <fgColor rgb="FF70AD47"/>
        <bgColor rgb="FF99CC00"/>
      </patternFill>
    </fill>
    <fill>
      <patternFill patternType="solid">
        <fgColor theme="7"/>
        <bgColor rgb="FF1F3864"/>
      </patternFill>
    </fill>
    <fill>
      <patternFill patternType="solid">
        <fgColor rgb="FFB4D7A8"/>
        <bgColor rgb="FF99CCFF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7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3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4" borderId="9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8" fillId="5" borderId="13" applyAlignment="1" pivotButton="0" quotePrefix="0" xfId="0">
      <alignment vertical="center" wrapText="1"/>
    </xf>
    <xf numFmtId="0" fontId="8" fillId="5" borderId="14" applyAlignment="1" pivotButton="0" quotePrefix="0" xfId="0">
      <alignment vertical="center" wrapText="1"/>
    </xf>
    <xf numFmtId="0" fontId="7" fillId="6" borderId="14" applyAlignment="1" pivotButton="0" quotePrefix="0" xfId="0">
      <alignment vertical="center" wrapText="1"/>
    </xf>
    <xf numFmtId="0" fontId="8" fillId="5" borderId="9" applyAlignment="1" pivotButton="0" quotePrefix="0" xfId="0">
      <alignment vertical="center" wrapText="1"/>
    </xf>
    <xf numFmtId="0" fontId="0" fillId="7" borderId="0" pivotButton="0" quotePrefix="0" xfId="0"/>
    <xf numFmtId="0" fontId="8" fillId="8" borderId="13" applyAlignment="1" pivotButton="0" quotePrefix="0" xfId="0">
      <alignment vertical="center" wrapText="1"/>
    </xf>
    <xf numFmtId="0" fontId="8" fillId="8" borderId="14" applyAlignment="1" pivotButton="0" quotePrefix="0" xfId="0">
      <alignment vertical="center" wrapText="1"/>
    </xf>
    <xf numFmtId="0" fontId="8" fillId="8" borderId="9" applyAlignment="1" pivotButton="0" quotePrefix="0" xfId="0">
      <alignment vertical="center" wrapText="1"/>
    </xf>
    <xf numFmtId="0" fontId="7" fillId="9" borderId="14" applyAlignment="1" pivotButton="0" quotePrefix="0" xfId="0">
      <alignment vertical="center" wrapText="1"/>
    </xf>
    <xf numFmtId="0" fontId="8" fillId="8" borderId="15" applyAlignment="1" pivotButton="0" quotePrefix="0" xfId="0">
      <alignment vertical="center" wrapText="1"/>
    </xf>
    <xf numFmtId="0" fontId="8" fillId="8" borderId="16" applyAlignment="1" pivotButton="0" quotePrefix="0" xfId="0">
      <alignment vertical="center" wrapText="1"/>
    </xf>
    <xf numFmtId="0" fontId="7" fillId="6" borderId="16" applyAlignment="1" pivotButton="0" quotePrefix="0" xfId="0">
      <alignment vertical="center" wrapText="1"/>
    </xf>
    <xf numFmtId="0" fontId="8" fillId="8" borderId="17" applyAlignment="1" pivotButton="0" quotePrefix="0" xfId="0">
      <alignment vertical="center" wrapText="1"/>
    </xf>
    <xf numFmtId="0" fontId="0" fillId="7" borderId="0" pivotButton="0" quotePrefix="0" xfId="0"/>
    <xf numFmtId="0" fontId="7" fillId="6" borderId="9" applyAlignment="1" pivotButton="0" quotePrefix="0" xfId="0">
      <alignment vertical="center" wrapText="1"/>
    </xf>
    <xf numFmtId="0" fontId="7" fillId="9" borderId="9" applyAlignment="1" pivotButton="0" quotePrefix="0" xfId="0">
      <alignment vertical="center" wrapText="1"/>
    </xf>
    <xf numFmtId="0" fontId="8" fillId="10" borderId="9" applyAlignment="1" pivotButton="0" quotePrefix="0" xfId="0">
      <alignment vertical="center" wrapText="1"/>
    </xf>
    <xf numFmtId="0" fontId="8" fillId="5" borderId="15" applyAlignment="1" pivotButton="0" quotePrefix="0" xfId="0">
      <alignment vertical="center" wrapText="1"/>
    </xf>
    <xf numFmtId="0" fontId="8" fillId="5" borderId="16" applyAlignment="1" pivotButton="0" quotePrefix="0" xfId="0">
      <alignment vertical="center" wrapText="1"/>
    </xf>
    <xf numFmtId="0" fontId="7" fillId="9" borderId="17" applyAlignment="1" pivotButton="0" quotePrefix="0" xfId="0">
      <alignment vertical="center" wrapText="1"/>
    </xf>
    <xf numFmtId="0" fontId="8" fillId="5" borderId="17" applyAlignment="1" pivotButton="0" quotePrefix="0" xfId="0">
      <alignment vertical="center" wrapText="1"/>
    </xf>
    <xf numFmtId="0" fontId="9" fillId="11" borderId="0" pivotButton="0" quotePrefix="0" xfId="0"/>
    <xf numFmtId="0" fontId="0" fillId="7" borderId="0" applyAlignment="1" pivotButton="0" quotePrefix="0" xfId="0">
      <alignment horizontal="center" vertical="center"/>
    </xf>
    <xf numFmtId="0" fontId="10" fillId="11" borderId="18" applyAlignment="1" pivotButton="0" quotePrefix="0" xfId="0">
      <alignment horizontal="center" vertical="center" wrapText="1"/>
    </xf>
    <xf numFmtId="0" fontId="10" fillId="11" borderId="19" applyAlignment="1" pivotButton="0" quotePrefix="0" xfId="0">
      <alignment horizontal="center" vertical="center" wrapText="1"/>
    </xf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/>
    </xf>
    <xf numFmtId="0" fontId="0" fillId="12" borderId="20" applyAlignment="1" pivotButton="0" quotePrefix="0" xfId="0">
      <alignment horizontal="left" vertical="center" wrapText="1"/>
    </xf>
    <xf numFmtId="0" fontId="0" fillId="13" borderId="20" applyAlignment="1" pivotButton="0" quotePrefix="0" xfId="0">
      <alignment horizontal="center" vertical="center"/>
    </xf>
    <xf numFmtId="0" fontId="0" fillId="12" borderId="21" applyAlignment="1" pivotButton="0" quotePrefix="0" xfId="0">
      <alignment horizontal="left" vertical="center" wrapText="1"/>
    </xf>
    <xf numFmtId="0" fontId="8" fillId="7" borderId="14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0" fontId="0" fillId="7" borderId="20" applyAlignment="1" pivotButton="0" quotePrefix="0" xfId="0">
      <alignment horizontal="center" vertical="center"/>
    </xf>
    <xf numFmtId="0" fontId="0" fillId="7" borderId="20" applyAlignment="1" pivotButton="0" quotePrefix="0" xfId="0">
      <alignment horizontal="left" vertical="center" wrapText="1"/>
    </xf>
    <xf numFmtId="0" fontId="0" fillId="14" borderId="20" applyAlignment="1" pivotButton="0" quotePrefix="0" xfId="0">
      <alignment horizontal="center" vertical="center"/>
    </xf>
    <xf numFmtId="0" fontId="0" fillId="7" borderId="21" applyAlignment="1" pivotButton="0" quotePrefix="0" xfId="0">
      <alignment horizontal="left" vertical="center" wrapText="1"/>
    </xf>
    <xf numFmtId="0" fontId="0" fillId="15" borderId="20" applyAlignment="1" pivotButton="0" quotePrefix="0" xfId="0">
      <alignment horizontal="center" vertical="center"/>
    </xf>
    <xf numFmtId="0" fontId="7" fillId="16" borderId="9" applyAlignment="1" pivotButton="0" quotePrefix="0" xfId="0">
      <alignment horizontal="center" vertical="center"/>
    </xf>
    <xf numFmtId="0" fontId="0" fillId="7" borderId="22" applyAlignment="1" pivotButton="0" quotePrefix="0" xfId="0">
      <alignment horizontal="center" vertical="center"/>
    </xf>
    <xf numFmtId="0" fontId="0" fillId="7" borderId="22" applyAlignment="1" pivotButton="0" quotePrefix="0" xfId="0">
      <alignment horizontal="left" vertical="center" wrapText="1"/>
    </xf>
    <xf numFmtId="0" fontId="0" fillId="15" borderId="22" applyAlignment="1" pivotButton="0" quotePrefix="0" xfId="0">
      <alignment horizontal="center" vertical="center"/>
    </xf>
    <xf numFmtId="0" fontId="0" fillId="7" borderId="23" applyAlignment="1" pivotButton="0" quotePrefix="0" xfId="0">
      <alignment horizontal="left" vertical="center" wrapText="1"/>
    </xf>
    <xf numFmtId="0" fontId="11" fillId="17" borderId="0" pivotButton="0" quotePrefix="0" xfId="0"/>
    <xf numFmtId="0" fontId="3" fillId="0" borderId="0" pivotButton="0" quotePrefix="0" xfId="0"/>
    <xf numFmtId="0" fontId="3" fillId="15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11" fillId="11" borderId="0" pivotButton="0" quotePrefix="0" xfId="0"/>
    <xf numFmtId="0" fontId="12" fillId="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25" pivotButton="0" quotePrefix="0" xfId="0"/>
  </cellXfs>
  <cellStyles count="1">
    <cellStyle name="Normal" xfId="0" builtinId="0"/>
  </cellStyles>
  <dxfs count="96"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name val="Calibri"/>
        <charset val="1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F3864"/>
          <bgColor theme="7" tint="-0.249977111117893"/>
        </patternFill>
      </fill>
      <alignment horizontal="center" vertical="bottom"/>
    </dxf>
    <dxf>
      <font>
        <name val="Calibri"/>
        <charset val="1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alignment horizontal="general" vertical="bottom"/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99CC00"/>
          <bgColor rgb="FF70AD47"/>
        </patternFill>
      </fill>
      <alignment horizontal="center" vertical="center"/>
      <border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 style="thin">
          <color auto="1"/>
        </left>
        <right/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ED7D31"/>
          <bgColor rgb="FFFF6B6B"/>
        </patternFill>
      </fill>
      <alignment horizontal="center" vertical="center"/>
      <border outline="0">
        <left/>
        <right/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/>
        <right/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center" vertical="center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center" vertical="center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left" vertical="center" wrapText="1"/>
      <border outline="0">
        <left/>
        <right style="thin">
          <color auto="1"/>
        </right>
        <top style="thin">
          <color auto="1"/>
        </top>
        <bottom/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outline="0">
        <right style="thin">
          <color rgb="FFAAAAAA"/>
        </right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66CC"/>
          <bgColor theme="7" tint="-0.249977111117893"/>
        </patternFill>
      </fill>
      <alignment horizontal="center" vertical="center" wrapText="1"/>
      <border outline="0">
        <left style="thin">
          <color rgb="FFAAAAAA"/>
        </left>
        <right style="thin">
          <color rgb="FFAAAAAA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1F3864"/>
          <bgColor theme="7" tint="-0.249977111117893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1F3864"/>
          <bgColor theme="7" tint="-0.249977111117893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66CC"/>
          <bgColor theme="7" tint="-0.249977111117893"/>
        </patternFill>
      </fill>
      <alignment horizontal="center" vertical="center" wrapText="1"/>
      <border outline="0">
        <left style="thin">
          <color rgb="FFAAAAAA"/>
        </left>
        <right style="thin">
          <color rgb="FFAAAAAA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66CC"/>
          <bgColor theme="7" tint="-0.249977111117893"/>
        </patternFill>
      </fill>
      <alignment horizontal="center" vertical="center" wrapText="1"/>
      <border outline="0">
        <left style="thin">
          <color rgb="FFAAAAAA"/>
        </left>
        <right style="thin">
          <color rgb="FFAAAAAA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FF6B6B"/>
          <bgColor rgb="FFED7D31"/>
        </patternFill>
      </fill>
      <alignment horizontal="general" vertical="center" wrapText="1"/>
      <border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  <border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66CC"/>
          <bgColor theme="7" tint="-0.249977111117893"/>
        </patternFill>
      </fill>
      <alignment horizontal="center" vertical="center" wrapText="1"/>
      <border outline="0">
        <left style="thin">
          <color rgb="FFAAAAAA"/>
        </left>
        <right style="thin">
          <color rgb="FFAAAAAA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 outline="0">
        <left style="thin">
          <color rgb="FFAAAAAA"/>
        </left>
        <right/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800000"/>
          <bgColor rgb="FFC00000"/>
        </patternFill>
      </fill>
      <alignment horizontal="general" vertical="center" wrapText="1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theme="0"/>
        </patternFill>
      </fill>
      <alignment horizontal="general" vertical="center" wrapText="1"/>
      <border outline="0">
        <left/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EBF3FB"/>
          <bgColor rgb="FFFFFFFF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66CC"/>
          <bgColor theme="7" tint="-0.249977111117893"/>
        </patternFill>
      </fill>
      <alignment horizontal="center" vertical="center" wrapText="1"/>
      <border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au15" displayName="Tableau15" ref="A5:H13" headerRowCount="1" totalsRowShown="0" headerRowDxfId="95" dataDxfId="94" headerRowBorderDxfId="92" tableBorderDxfId="93" totalsRowBorderDxfId="91">
  <autoFilter ref="A5:H13"/>
  <tableColumns count="8">
    <tableColumn id="1" name="ID" dataDxfId="90"/>
    <tableColumn id="2" name="Valeur Métier" dataDxfId="89"/>
    <tableColumn id="3" name="Description" dataDxfId="88"/>
    <tableColumn id="4" name="Bien Support Principal" dataDxfId="87"/>
    <tableColumn id="5" name="Responsable" dataDxfId="86"/>
    <tableColumn id="6" name="Criticité" dataDxfId="85"/>
    <tableColumn id="7" name="Classification" dataDxfId="84"/>
    <tableColumn id="8" name="Événement Redouté lié" dataDxfId="83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au16" displayName="Tableau16" ref="A20:H30" headerRowCount="1" totalsRowShown="0" headerRowDxfId="82" dataDxfId="81" headerRowBorderDxfId="79" tableBorderDxfId="80" totalsRowBorderDxfId="78">
  <autoFilter ref="A20:H30"/>
  <tableColumns count="8">
    <tableColumn id="1" name="ID" dataDxfId="77"/>
    <tableColumn id="2" name="Source de Risque" dataDxfId="76"/>
    <tableColumn id="3" name="Catégorie" dataDxfId="75"/>
    <tableColumn id="4" name="Motivation" dataDxfId="74"/>
    <tableColumn id="5" name="Capacité (1-4)" dataDxfId="73"/>
    <tableColumn id="6" name="Exposition (1-4)" dataDxfId="72"/>
    <tableColumn id="7" name="Objectifs Visés (OV)" dataDxfId="71"/>
    <tableColumn id="8" name="Pertinence SMSI" dataDxfId="70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au17" displayName="Tableau17" ref="A37:H45" headerRowCount="1" totalsRowShown="0" headerRowDxfId="69" dataDxfId="68" headerRowBorderDxfId="66" tableBorderDxfId="67" totalsRowBorderDxfId="65">
  <autoFilter ref="A37:H45"/>
  <tableColumns count="8">
    <tableColumn id="1" name="ID" dataDxfId="64"/>
    <tableColumn id="2" name="Scénario Stratégique" dataDxfId="63"/>
    <tableColumn id="3" name="Source (SR)" dataDxfId="62"/>
    <tableColumn id="4" name="Objectif Visé" dataDxfId="61"/>
    <tableColumn id="5" name="Valeur Métier cible" dataDxfId="60"/>
    <tableColumn id="6" name="Chemin d'attaque haut niveau" dataDxfId="59"/>
    <tableColumn id="7" name="Vraisemblance (1-4)" dataDxfId="58"/>
    <tableColumn id="8" name="Gravité (1-4)" dataDxfId="57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ableau18" displayName="Tableau18" ref="A52:H60" headerRowCount="1" totalsRowShown="0" headerRowDxfId="56" dataDxfId="55" headerRowBorderDxfId="53" tableBorderDxfId="54" totalsRowBorderDxfId="52">
  <autoFilter ref="A52:H60"/>
  <tableColumns count="8">
    <tableColumn id="1" name="ID" dataDxfId="51"/>
    <tableColumn id="2" name="Lié à SS" dataDxfId="50"/>
    <tableColumn id="3" name="Étapes Techniques (TTPs)" dataDxfId="49"/>
    <tableColumn id="4" name="Vecteur initial" dataDxfId="48"/>
    <tableColumn id="5" name="Tactique MITRE ATT&amp;CK" dataDxfId="47"/>
    <tableColumn id="6" name="Indicateurs de compromission" dataDxfId="46"/>
    <tableColumn id="7" name="Vraisemblance (1-4)" dataDxfId="45"/>
    <tableColumn id="8" name="Contrôles détectifs existants" dataDxfId="44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5" name="Tableau39" displayName="Tableau39" ref="A1:G11" headerRowCount="1" totalsRowShown="0" headerRowDxfId="43" dataDxfId="42">
  <autoFilter ref="A1:G11"/>
  <tableColumns count="7">
    <tableColumn id="1" name="ID" dataDxfId="41"/>
    <tableColumn id="2" name="Actif" dataDxfId="40"/>
    <tableColumn id="3" name="Type" dataDxfId="39"/>
    <tableColumn id="4" name="Classification" dataDxfId="38"/>
    <tableColumn id="5" name="Propriétaire" dataDxfId="37"/>
    <tableColumn id="6" name="Criticité" dataDxfId="36"/>
    <tableColumn id="7" name="Commentaire" dataDxfId="35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id="6" name="Tableau410" displayName="Tableau410" ref="A1:F21" headerRowCount="1" totalsRowShown="0" headerRowDxfId="34" dataDxfId="33">
  <autoFilter ref="A1:F21"/>
  <tableColumns count="6">
    <tableColumn id="1" name="ID" dataDxfId="32"/>
    <tableColumn id="2" name="Événement" dataDxfId="31"/>
    <tableColumn id="3" name="Source" dataDxfId="30"/>
    <tableColumn id="4" name="Actif" dataDxfId="29"/>
    <tableColumn id="5" name="Impact" dataDxfId="28"/>
    <tableColumn id="6" name="Gravité" dataDxfId="27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id="7" name="Tableau19" displayName="Tableau19" ref="A1:Q21" headerRowCount="1" totalsRowShown="0" headerRowDxfId="26" dataDxfId="25" tableBorderDxfId="24">
  <autoFilter ref="A1:Q21"/>
  <tableColumns count="17">
    <tableColumn id="1" name="ID" dataDxfId="23"/>
    <tableColumn id="2" name="Menace" dataDxfId="22"/>
    <tableColumn id="3" name="Type" dataDxfId="21"/>
    <tableColumn id="4" name="Acteur" dataDxfId="20"/>
    <tableColumn id="5" name="Vecteur" dataDxfId="19"/>
    <tableColumn id="6" name="Scénario Opérationnel" dataDxfId="18"/>
    <tableColumn id="7" name="Actifs Impactés" dataDxfId="17"/>
    <tableColumn id="8" name="Probabilité (1-4)" dataDxfId="16"/>
    <tableColumn id="9" name="Sévérité (1-4)" dataDxfId="15"/>
    <tableColumn id="10" name="Impact €" dataDxfId="14"/>
    <tableColumn id="11" name="Criticité" dataDxfId="13">
      <calculatedColumnFormula>H2*I2</calculatedColumnFormula>
    </tableColumn>
    <tableColumn id="12" name="Contrôles Existants" dataDxfId="12"/>
    <tableColumn id="13" name="Actions" dataDxfId="11"/>
    <tableColumn id="14" name="Prob. Résiduelle" dataDxfId="10"/>
    <tableColumn id="15" name="Impact Résiduel" dataDxfId="9"/>
    <tableColumn id="16" name="Score Résiduel" dataDxfId="8"/>
    <tableColumn id="17" name="Niveau Résiduel" dataDxfId="7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id="8" name="Tableau11" displayName="Tableau11" ref="A3:E7" headerRowCount="1" totalsRowShown="0" headerRowDxfId="6">
  <autoFilter ref="A3:E7"/>
  <tableColumns count="5">
    <tableColumn id="1" name="IMPACT" dataDxfId="5"/>
    <tableColumn id="2" name="Prob 1"/>
    <tableColumn id="3" name="Prob 2"/>
    <tableColumn id="4" name="Prob 3"/>
    <tableColumn id="5" name="Prob 4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id="9" name="Tableau20" displayName="Tableau20" ref="A5:C9" headerRowCount="1" totalsRowShown="0" headerRowDxfId="4" dataDxfId="3">
  <autoFilter ref="A5:C9"/>
  <tableColumns count="3">
    <tableColumn id="1" name="Niveau" dataDxfId="2"/>
    <tableColumn id="2" name="Nombre" dataDxfId="1"/>
    <tableColumn id="3" name="% Total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14" sqref="C14"/>
    </sheetView>
  </sheetViews>
  <sheetFormatPr baseColWidth="10" defaultColWidth="8.7265625" defaultRowHeight="14.5"/>
  <cols>
    <col width="25" customWidth="1" style="7" min="1" max="4"/>
  </cols>
  <sheetData>
    <row r="1" ht="18.5" customHeight="1" s="7">
      <c r="A1" s="12" t="inlineStr">
        <is>
          <t>CONTEXTE ET PÉRIMÈTRE SMSI</t>
        </is>
      </c>
    </row>
    <row r="2"/>
    <row r="3" ht="15.5" customHeight="1" s="7">
      <c r="A3" s="1" t="inlineStr">
        <is>
          <t>PRÉSENTATION Fictional Technology Services Company</t>
        </is>
      </c>
    </row>
    <row r="4" ht="15" customHeight="1" s="7" thickBot="1"/>
    <row r="5" ht="14.25" customHeight="1" s="7">
      <c r="A5" s="3" t="inlineStr">
        <is>
          <t>Nom entreprise</t>
        </is>
      </c>
      <c r="B5" s="5" t="inlineStr">
        <is>
          <t>Fictional Technology Services Company</t>
        </is>
      </c>
      <c r="C5" s="4" t="n"/>
      <c r="D5" s="5" t="n"/>
    </row>
    <row r="6" ht="14.25" customHeight="1" s="7">
      <c r="A6" s="6" t="inlineStr">
        <is>
          <t>Type</t>
        </is>
      </c>
      <c r="B6" s="8" t="inlineStr">
        <is>
          <t>SSII - Intégration ERP</t>
        </is>
      </c>
      <c r="D6" s="8" t="n"/>
    </row>
    <row r="7" ht="14.25" customHeight="1" s="7">
      <c r="A7" s="6" t="inlineStr">
        <is>
          <t>Localisation</t>
        </is>
      </c>
      <c r="B7" s="8" t="inlineStr">
        <is>
          <t>Cameroon</t>
        </is>
      </c>
      <c r="D7" s="8" t="n"/>
    </row>
    <row r="8" ht="15" customHeight="1" s="7" thickBot="1">
      <c r="A8" s="9" t="inlineStr">
        <is>
          <t>Effectif</t>
        </is>
      </c>
      <c r="B8" s="11" t="inlineStr">
        <is>
          <t>50 employés</t>
        </is>
      </c>
      <c r="C8" s="10" t="n"/>
      <c r="D8" s="11" t="n"/>
    </row>
  </sheetData>
  <mergeCells count="6">
    <mergeCell ref="A1:D1"/>
    <mergeCell ref="A3:B3"/>
    <mergeCell ref="B5:D5"/>
    <mergeCell ref="B8:D8"/>
    <mergeCell ref="B7:D7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zoomScale="58" workbookViewId="0">
      <selection activeCell="D8" sqref="D8"/>
    </sheetView>
  </sheetViews>
  <sheetFormatPr baseColWidth="10" defaultColWidth="8.6328125" defaultRowHeight="14.5"/>
  <cols>
    <col width="8" customWidth="1" style="7" min="1" max="1"/>
    <col width="32" customWidth="1" style="7" min="2" max="2"/>
    <col width="42.26953125" customWidth="1" style="7" min="3" max="3"/>
    <col width="30" customWidth="1" style="7" min="4" max="4"/>
    <col width="24.453125" customWidth="1" style="7" min="5" max="5"/>
    <col width="61.90625" customWidth="1" style="7" min="6" max="6"/>
    <col width="35.54296875" customWidth="1" style="7" min="7" max="7"/>
    <col width="35" customWidth="1" style="7" min="8" max="8"/>
  </cols>
  <sheetData>
    <row r="1" ht="27.75" customHeight="1" s="7">
      <c r="A1" s="13" t="inlineStr">
        <is>
          <t>ATELIER 1 CADRAGE ET SOCLE DE SÉCURITÉ</t>
        </is>
      </c>
    </row>
    <row r="2" ht="15" customHeight="1" s="7">
      <c r="A2" s="14" t="inlineStr">
        <is>
          <t>Objectif : Définir le périmètre du SMSI, identifier les valeurs métiers et les événements redoutés à haut niveau.</t>
        </is>
      </c>
    </row>
    <row r="3"/>
    <row r="4" ht="15" customHeight="1" s="7">
      <c r="A4" s="15" t="inlineStr">
        <is>
          <t>1.1 Valeurs Métier et Biens Supports</t>
        </is>
      </c>
      <c r="B4" s="72" t="n"/>
      <c r="C4" s="72" t="n"/>
      <c r="D4" s="72" t="n"/>
      <c r="E4" s="72" t="n"/>
      <c r="F4" s="72" t="n"/>
      <c r="G4" s="72" t="n"/>
      <c r="H4" s="72" t="n"/>
    </row>
    <row r="5" ht="23.25" customHeight="1" s="7">
      <c r="A5" s="16" t="inlineStr">
        <is>
          <t>ID</t>
        </is>
      </c>
      <c r="B5" s="17" t="inlineStr">
        <is>
          <t>Valeur Métier</t>
        </is>
      </c>
      <c r="C5" s="17" t="inlineStr">
        <is>
          <t>Description</t>
        </is>
      </c>
      <c r="D5" s="17" t="inlineStr">
        <is>
          <t>Bien Support Principal</t>
        </is>
      </c>
      <c r="E5" s="17" t="inlineStr">
        <is>
          <t>Responsable</t>
        </is>
      </c>
      <c r="F5" s="17" t="inlineStr">
        <is>
          <t>Criticité</t>
        </is>
      </c>
      <c r="G5" s="17" t="inlineStr">
        <is>
          <t>Classification</t>
        </is>
      </c>
      <c r="H5" s="18" t="inlineStr">
        <is>
          <t>Événement Redouté lié</t>
        </is>
      </c>
    </row>
    <row r="6" ht="34.5" customHeight="1" s="7">
      <c r="A6" s="19" t="inlineStr">
        <is>
          <t>VM01</t>
        </is>
      </c>
      <c r="B6" s="20" t="inlineStr">
        <is>
          <t>Gestion clients</t>
        </is>
      </c>
      <c r="C6" s="20" t="inlineStr">
        <is>
          <t>Données clients, contrats, historique CRM</t>
        </is>
      </c>
      <c r="D6" s="20" t="inlineStr">
        <is>
          <t>BD Clients SQL (A001)</t>
        </is>
      </c>
      <c r="E6" s="20" t="inlineStr">
        <is>
          <t>DBA</t>
        </is>
      </c>
      <c r="F6" s="21" t="inlineStr">
        <is>
          <t>CRITIQUE</t>
        </is>
      </c>
      <c r="G6" s="20" t="inlineStr">
        <is>
          <t>CONFIDENTIEL</t>
        </is>
      </c>
      <c r="H6" s="22" t="inlineStr">
        <is>
          <t>E001 – Injection SQL, E011 – Brèche RGPD</t>
        </is>
      </c>
      <c r="I6" s="32" t="n"/>
    </row>
    <row r="7" ht="23.25" customHeight="1" s="7">
      <c r="A7" s="24" t="inlineStr">
        <is>
          <t>VM02</t>
        </is>
      </c>
      <c r="B7" s="25" t="inlineStr">
        <is>
          <t>Production ERP</t>
        </is>
      </c>
      <c r="C7" s="25" t="inlineStr">
        <is>
          <t>Intégration ERP Sage 100, livraisons projets</t>
        </is>
      </c>
      <c r="D7" s="25" t="inlineStr">
        <is>
          <t>ERP Sage 100 (A002)</t>
        </is>
      </c>
      <c r="E7" s="25" t="inlineStr">
        <is>
          <t>Chef projet</t>
        </is>
      </c>
      <c r="F7" s="21" t="inlineStr">
        <is>
          <t>CRITIQUE</t>
        </is>
      </c>
      <c r="G7" s="25" t="inlineStr">
        <is>
          <t>CRITIQUE</t>
        </is>
      </c>
      <c r="H7" s="26" t="inlineStr">
        <is>
          <t>E002 – Ransomware</t>
        </is>
      </c>
      <c r="I7" s="32" t="n"/>
    </row>
    <row r="8" ht="34.5" customHeight="1" s="7">
      <c r="A8" s="19" t="inlineStr">
        <is>
          <t>VM03</t>
        </is>
      </c>
      <c r="B8" s="20" t="inlineStr">
        <is>
          <t>Développement logiciel</t>
        </is>
      </c>
      <c r="C8" s="20" t="inlineStr">
        <is>
          <t>Code source propriétaire, IP technique</t>
        </is>
      </c>
      <c r="D8" s="20" t="inlineStr">
        <is>
          <t>Dépôt Git (A003)</t>
        </is>
      </c>
      <c r="E8" s="20" t="inlineStr">
        <is>
          <t>CTO</t>
        </is>
      </c>
      <c r="F8" s="27" t="inlineStr">
        <is>
          <t>HAUTE</t>
        </is>
      </c>
      <c r="G8" s="20" t="inlineStr">
        <is>
          <t>CONFIDENTIEL</t>
        </is>
      </c>
      <c r="H8" s="22" t="inlineStr">
        <is>
          <t>E006 – Exfiltration secrets</t>
        </is>
      </c>
      <c r="I8" s="32" t="n"/>
    </row>
    <row r="9" ht="23.25" customHeight="1" s="7">
      <c r="A9" s="24" t="inlineStr">
        <is>
          <t>VM04</t>
        </is>
      </c>
      <c r="B9" s="25" t="inlineStr">
        <is>
          <t>Gestion identités</t>
        </is>
      </c>
      <c r="C9" s="25" t="inlineStr">
        <is>
          <t>Comptes utilisateurs, droits d'accès</t>
        </is>
      </c>
      <c r="D9" s="25" t="inlineStr">
        <is>
          <t>Comptes AD (A004)</t>
        </is>
      </c>
      <c r="E9" s="25" t="inlineStr">
        <is>
          <t>Admin IT</t>
        </is>
      </c>
      <c r="F9" s="21" t="inlineStr">
        <is>
          <t>CRITIQUE</t>
        </is>
      </c>
      <c r="G9" s="25" t="inlineStr">
        <is>
          <t>SECRET</t>
        </is>
      </c>
      <c r="H9" s="26" t="inlineStr">
        <is>
          <t>E003 – Vol credentials</t>
        </is>
      </c>
      <c r="I9" s="32" t="n"/>
    </row>
    <row r="10" ht="23.25" customHeight="1" s="7">
      <c r="A10" s="19" t="inlineStr">
        <is>
          <t>VM05</t>
        </is>
      </c>
      <c r="B10" s="20" t="inlineStr">
        <is>
          <t>Gestion financière</t>
        </is>
      </c>
      <c r="C10" s="20" t="inlineStr">
        <is>
          <t>Comptabilité, paie, finances</t>
        </is>
      </c>
      <c r="D10" s="20" t="inlineStr">
        <is>
          <t>Données financières (A005)</t>
        </is>
      </c>
      <c r="E10" s="20" t="inlineStr">
        <is>
          <t>DAF</t>
        </is>
      </c>
      <c r="F10" s="21" t="inlineStr">
        <is>
          <t>CRITIQUE</t>
        </is>
      </c>
      <c r="G10" s="20" t="inlineStr">
        <is>
          <t>CONFIDENTIEL</t>
        </is>
      </c>
      <c r="H10" s="22" t="inlineStr">
        <is>
          <t>E005 – Sabotage données</t>
        </is>
      </c>
      <c r="I10" s="32" t="n"/>
    </row>
    <row r="11" ht="23.25" customHeight="1" s="7">
      <c r="A11" s="24" t="inlineStr">
        <is>
          <t>VM06</t>
        </is>
      </c>
      <c r="B11" s="25" t="inlineStr">
        <is>
          <t>Disponibilité SI</t>
        </is>
      </c>
      <c r="C11" s="25" t="inlineStr">
        <is>
          <t>Continuité de service, réseau, serveurs</t>
        </is>
      </c>
      <c r="D11" s="25" t="inlineStr">
        <is>
          <t>Équipements réseau (A007)</t>
        </is>
      </c>
      <c r="E11" s="25" t="inlineStr">
        <is>
          <t>Admin réseau</t>
        </is>
      </c>
      <c r="F11" s="21" t="inlineStr">
        <is>
          <t>CRITIQUE</t>
        </is>
      </c>
      <c r="G11" s="25" t="inlineStr">
        <is>
          <t>INTERNE</t>
        </is>
      </c>
      <c r="H11" s="26" t="inlineStr">
        <is>
          <t>E007 – Défaillance infra, E004 – DDoS</t>
        </is>
      </c>
      <c r="I11" s="32" t="n"/>
    </row>
    <row r="12" ht="34.5" customHeight="1" s="7">
      <c r="A12" s="19" t="inlineStr">
        <is>
          <t>VM07</t>
        </is>
      </c>
      <c r="B12" s="20" t="inlineStr">
        <is>
          <t>Documentation</t>
        </is>
      </c>
      <c r="C12" s="20" t="inlineStr">
        <is>
          <t>Référentiels, procédures, docs clients</t>
        </is>
      </c>
      <c r="D12" s="20" t="inlineStr">
        <is>
          <t>Documents clients (A006)</t>
        </is>
      </c>
      <c r="E12" s="20" t="inlineStr">
        <is>
          <t>Admin doc</t>
        </is>
      </c>
      <c r="F12" s="27" t="inlineStr">
        <is>
          <t>HAUTE</t>
        </is>
      </c>
      <c r="G12" s="20" t="inlineStr">
        <is>
          <t>CONFIDENTIEL</t>
        </is>
      </c>
      <c r="H12" s="22" t="inlineStr">
        <is>
          <t>E010 – Fuite USB</t>
        </is>
      </c>
      <c r="I12" s="32" t="n"/>
    </row>
    <row r="13" ht="23.25" customHeight="1" s="7">
      <c r="A13" s="28" t="inlineStr">
        <is>
          <t>VM08</t>
        </is>
      </c>
      <c r="B13" s="29" t="inlineStr">
        <is>
          <t>Sauvegarde et reprise</t>
        </is>
      </c>
      <c r="C13" s="29" t="inlineStr">
        <is>
          <t>Restauration données après incident</t>
        </is>
      </c>
      <c r="D13" s="29" t="inlineStr">
        <is>
          <t>Sauvegardes (A010)</t>
        </is>
      </c>
      <c r="E13" s="29" t="inlineStr">
        <is>
          <t>Admin IT</t>
        </is>
      </c>
      <c r="F13" s="30" t="inlineStr">
        <is>
          <t>CRITIQUE</t>
        </is>
      </c>
      <c r="G13" s="29" t="inlineStr">
        <is>
          <t>CONFIDENTIEL</t>
        </is>
      </c>
      <c r="H13" s="31" t="inlineStr">
        <is>
          <t>E007 – Perte sauvegardes</t>
        </is>
      </c>
      <c r="I13" s="32" t="n"/>
    </row>
    <row r="14">
      <c r="A14" s="32" t="n"/>
      <c r="B14" s="32" t="n"/>
      <c r="C14" s="32" t="n"/>
      <c r="D14" s="32" t="n"/>
      <c r="E14" s="32" t="n"/>
    </row>
    <row r="15"/>
    <row r="16" ht="27.75" customHeight="1" s="7">
      <c r="A16" s="13" t="inlineStr">
        <is>
          <t>ATELIER 2 SOURCES DE RISQUE ET OBJECTIFS VISÉS</t>
        </is>
      </c>
    </row>
    <row r="17" ht="15" customHeight="1" s="7">
      <c r="A17" s="14" t="inlineStr">
        <is>
          <t>Objectif : Identifier les sources de risque (SR), leurs motivations, leurs capacités, et les objectifs visés (OV) sur les valeurs métier.</t>
        </is>
      </c>
    </row>
    <row r="18"/>
    <row r="19">
      <c r="A19" s="15" t="inlineStr">
        <is>
          <t>2.1 Sources de Risque identifiées</t>
        </is>
      </c>
      <c r="B19" s="72" t="n"/>
      <c r="C19" s="72" t="n"/>
      <c r="D19" s="72" t="n"/>
      <c r="E19" s="72" t="n"/>
      <c r="F19" s="72" t="n"/>
      <c r="G19" s="72" t="n"/>
      <c r="H19" s="72" t="n"/>
    </row>
    <row r="20">
      <c r="A20" s="16" t="inlineStr">
        <is>
          <t>ID</t>
        </is>
      </c>
      <c r="B20" s="17" t="inlineStr">
        <is>
          <t>Source de Risque</t>
        </is>
      </c>
      <c r="C20" s="17" t="inlineStr">
        <is>
          <t>Catégorie</t>
        </is>
      </c>
      <c r="D20" s="17" t="inlineStr">
        <is>
          <t>Motivation</t>
        </is>
      </c>
      <c r="E20" s="17" t="inlineStr">
        <is>
          <t>Capacité (1-4)</t>
        </is>
      </c>
      <c r="F20" s="17" t="inlineStr">
        <is>
          <t>Exposition (1-4)</t>
        </is>
      </c>
      <c r="G20" s="17" t="inlineStr">
        <is>
          <t>Objectifs Visés (OV)</t>
        </is>
      </c>
      <c r="H20" s="18" t="inlineStr">
        <is>
          <t>Pertinence SMSI</t>
        </is>
      </c>
    </row>
    <row r="21" ht="25" customHeight="1" s="7">
      <c r="A21" s="24" t="inlineStr">
        <is>
          <t>SR01</t>
        </is>
      </c>
      <c r="B21" s="25" t="inlineStr">
        <is>
          <t>Cybercriminel externe</t>
        </is>
      </c>
      <c r="C21" s="25" t="inlineStr">
        <is>
          <t>Externe hostile</t>
        </is>
      </c>
      <c r="D21" s="25" t="inlineStr">
        <is>
          <t>Gain financier (rançon, revente data)</t>
        </is>
      </c>
      <c r="E21" s="25" t="inlineStr">
        <is>
          <t>4</t>
        </is>
      </c>
      <c r="F21" s="25" t="inlineStr">
        <is>
          <t>4</t>
        </is>
      </c>
      <c r="G21" s="25" t="inlineStr">
        <is>
          <t>OV1 – Vol données clients, OV2 – Extorsion</t>
        </is>
      </c>
      <c r="H21" s="33" t="inlineStr">
        <is>
          <t>CRITIQUE</t>
        </is>
      </c>
    </row>
    <row r="22" ht="25" customHeight="1" s="7">
      <c r="A22" s="19" t="inlineStr">
        <is>
          <t>SR02</t>
        </is>
      </c>
      <c r="B22" s="20" t="inlineStr">
        <is>
          <t>Concurrent / Espionnage</t>
        </is>
      </c>
      <c r="C22" s="20" t="inlineStr">
        <is>
          <t>Externe hostile</t>
        </is>
      </c>
      <c r="D22" s="20" t="inlineStr">
        <is>
          <t>Avantage concurrentiel, vol IP</t>
        </is>
      </c>
      <c r="E22" s="20" t="inlineStr">
        <is>
          <t>3</t>
        </is>
      </c>
      <c r="F22" s="20" t="inlineStr">
        <is>
          <t>2</t>
        </is>
      </c>
      <c r="G22" s="20" t="inlineStr">
        <is>
          <t>OV3 – Vol code source, OV4 – Intelligence économique</t>
        </is>
      </c>
      <c r="H22" s="34" t="inlineStr">
        <is>
          <t>HAUTE</t>
        </is>
      </c>
    </row>
    <row r="23" ht="25" customHeight="1" s="7">
      <c r="A23" s="24" t="inlineStr">
        <is>
          <t>SR03</t>
        </is>
      </c>
      <c r="B23" s="25" t="inlineStr">
        <is>
          <t>Employé malveillant</t>
        </is>
      </c>
      <c r="C23" s="25" t="inlineStr">
        <is>
          <t>Interne hostile</t>
        </is>
      </c>
      <c r="D23" s="25" t="inlineStr">
        <is>
          <t>Vengeance, gain financier</t>
        </is>
      </c>
      <c r="E23" s="25" t="inlineStr">
        <is>
          <t>3</t>
        </is>
      </c>
      <c r="F23" s="25" t="inlineStr">
        <is>
          <t>4</t>
        </is>
      </c>
      <c r="G23" s="25" t="inlineStr">
        <is>
          <t>OV5 – Sabotage, OV6 – Exfiltration données</t>
        </is>
      </c>
      <c r="H23" s="33" t="inlineStr">
        <is>
          <t>CRITIQUE</t>
        </is>
      </c>
    </row>
    <row r="24" ht="25" customHeight="1" s="7">
      <c r="A24" s="19" t="inlineStr">
        <is>
          <t>SR04</t>
        </is>
      </c>
      <c r="B24" s="20" t="inlineStr">
        <is>
          <t>Ex-employé</t>
        </is>
      </c>
      <c r="C24" s="20" t="inlineStr">
        <is>
          <t>Interne hostile</t>
        </is>
      </c>
      <c r="D24" s="20" t="inlineStr">
        <is>
          <t>Vengeance, accès conservé</t>
        </is>
      </c>
      <c r="E24" s="20" t="inlineStr">
        <is>
          <t>2</t>
        </is>
      </c>
      <c r="F24" s="20" t="inlineStr">
        <is>
          <t>3</t>
        </is>
      </c>
      <c r="G24" s="20" t="inlineStr">
        <is>
          <t>OV5 – Accès résiduel, OV6 – Fuite données</t>
        </is>
      </c>
      <c r="H24" s="34" t="inlineStr">
        <is>
          <t>HAUTE</t>
        </is>
      </c>
    </row>
    <row r="25" ht="25" customHeight="1" s="7">
      <c r="A25" s="24" t="inlineStr">
        <is>
          <t>SR05</t>
        </is>
      </c>
      <c r="B25" s="25" t="inlineStr">
        <is>
          <t>Fournisseur/partenaire</t>
        </is>
      </c>
      <c r="C25" s="25" t="inlineStr">
        <is>
          <t>Tiers</t>
        </is>
      </c>
      <c r="D25" s="25" t="inlineStr">
        <is>
          <t>Négligence, sous-traitance défaillante</t>
        </is>
      </c>
      <c r="E25" s="25" t="inlineStr">
        <is>
          <t>2</t>
        </is>
      </c>
      <c r="F25" s="25" t="inlineStr">
        <is>
          <t>3</t>
        </is>
      </c>
      <c r="G25" s="25" t="inlineStr">
        <is>
          <t>OV7 – Rupture service ERP/Cloud</t>
        </is>
      </c>
      <c r="H25" s="34" t="inlineStr">
        <is>
          <t>HAUTE</t>
        </is>
      </c>
    </row>
    <row r="26">
      <c r="A26" s="19" t="inlineStr">
        <is>
          <t>SR06</t>
        </is>
      </c>
      <c r="B26" s="20" t="inlineStr">
        <is>
          <t>Hacktiviste</t>
        </is>
      </c>
      <c r="C26" s="20" t="inlineStr">
        <is>
          <t>Externe hostile</t>
        </is>
      </c>
      <c r="D26" s="20" t="inlineStr">
        <is>
          <t>Idéologique, réputation</t>
        </is>
      </c>
      <c r="E26" s="20" t="inlineStr">
        <is>
          <t>2</t>
        </is>
      </c>
      <c r="F26" s="20" t="inlineStr">
        <is>
          <t>2</t>
        </is>
      </c>
      <c r="G26" s="20" t="inlineStr">
        <is>
          <t>OV8 – DDoS site, défacement</t>
        </is>
      </c>
      <c r="H26" s="35" t="inlineStr">
        <is>
          <t>MOYENNE</t>
        </is>
      </c>
    </row>
    <row r="27" ht="25" customHeight="1" s="7">
      <c r="A27" s="24" t="inlineStr">
        <is>
          <t>SR07</t>
        </is>
      </c>
      <c r="B27" s="25" t="inlineStr">
        <is>
          <t>État-nation / APT</t>
        </is>
      </c>
      <c r="C27" s="25" t="inlineStr">
        <is>
          <t>Externe hostile</t>
        </is>
      </c>
      <c r="D27" s="25" t="inlineStr">
        <is>
          <t>Espionnage, déstabilisation</t>
        </is>
      </c>
      <c r="E27" s="25" t="inlineStr">
        <is>
          <t>4</t>
        </is>
      </c>
      <c r="F27" s="25" t="inlineStr">
        <is>
          <t>1</t>
        </is>
      </c>
      <c r="G27" s="25" t="inlineStr">
        <is>
          <t>OV9 – Compromission long-terme infrastructure</t>
        </is>
      </c>
      <c r="H27" s="33" t="inlineStr">
        <is>
          <t>CRITIQUE</t>
        </is>
      </c>
    </row>
    <row r="28" ht="25" customHeight="1" s="7">
      <c r="A28" s="19" t="inlineStr">
        <is>
          <t>SR08</t>
        </is>
      </c>
      <c r="B28" s="20" t="inlineStr">
        <is>
          <t>Utilisateur non formé</t>
        </is>
      </c>
      <c r="C28" s="20" t="inlineStr">
        <is>
          <t>Interne accidentel</t>
        </is>
      </c>
      <c r="D28" s="20" t="inlineStr">
        <is>
          <t>Erreur, méconnaissance</t>
        </is>
      </c>
      <c r="E28" s="20" t="inlineStr">
        <is>
          <t>1</t>
        </is>
      </c>
      <c r="F28" s="20" t="inlineStr">
        <is>
          <t>4</t>
        </is>
      </c>
      <c r="G28" s="20" t="inlineStr">
        <is>
          <t>OV10 – Infection malware, fuite accidentelle</t>
        </is>
      </c>
      <c r="H28" s="34" t="inlineStr">
        <is>
          <t>HAUTE</t>
        </is>
      </c>
    </row>
    <row r="29">
      <c r="A29" s="24" t="inlineStr">
        <is>
          <t>SR09</t>
        </is>
      </c>
      <c r="B29" s="25" t="inlineStr">
        <is>
          <t>Développeur malveillant</t>
        </is>
      </c>
      <c r="C29" s="25" t="inlineStr">
        <is>
          <t>Interne hostile</t>
        </is>
      </c>
      <c r="D29" s="25" t="inlineStr">
        <is>
          <t>Gain, sabotage</t>
        </is>
      </c>
      <c r="E29" s="25" t="inlineStr">
        <is>
          <t>3</t>
        </is>
      </c>
      <c r="F29" s="25" t="inlineStr">
        <is>
          <t>2</t>
        </is>
      </c>
      <c r="G29" s="25" t="inlineStr">
        <is>
          <t>OV11 – Backdoor applicatif</t>
        </is>
      </c>
      <c r="H29" s="34" t="inlineStr">
        <is>
          <t>HAUTE</t>
        </is>
      </c>
    </row>
    <row r="30">
      <c r="A30" s="36" t="inlineStr">
        <is>
          <t>SR10</t>
        </is>
      </c>
      <c r="B30" s="37" t="inlineStr">
        <is>
          <t>Attaquant supply chain</t>
        </is>
      </c>
      <c r="C30" s="37" t="inlineStr">
        <is>
          <t>Externe hostile</t>
        </is>
      </c>
      <c r="D30" s="37" t="inlineStr">
        <is>
          <t>Injection code malveillant</t>
        </is>
      </c>
      <c r="E30" s="37" t="inlineStr">
        <is>
          <t>3</t>
        </is>
      </c>
      <c r="F30" s="37" t="inlineStr">
        <is>
          <t>2</t>
        </is>
      </c>
      <c r="G30" s="37" t="inlineStr">
        <is>
          <t>OV12 – Dépendance compromise</t>
        </is>
      </c>
      <c r="H30" s="38" t="inlineStr">
        <is>
          <t>HAUTE</t>
        </is>
      </c>
    </row>
    <row r="31">
      <c r="A31" s="32" t="n"/>
      <c r="B31" s="32" t="n"/>
      <c r="C31" s="32" t="n"/>
      <c r="D31" s="32" t="n"/>
      <c r="E31" s="32" t="n"/>
      <c r="F31" s="32" t="n"/>
      <c r="G31" s="32" t="n"/>
    </row>
    <row r="32"/>
    <row r="33" ht="27.75" customHeight="1" s="7">
      <c r="A33" s="13" t="inlineStr">
        <is>
          <t>ATELIER 3 SCÉNARIOS STRATÉGIQUES</t>
        </is>
      </c>
    </row>
    <row r="34" ht="15" customHeight="1" s="7">
      <c r="A34" s="14" t="inlineStr">
        <is>
          <t>Objectif : Construire les scénarios d'attaque de haut niveau combinant Sources de Risque, Objectifs Visés et Chemins d'Attaque sur les valeurs métier.</t>
        </is>
      </c>
    </row>
    <row r="35"/>
    <row r="36" ht="15" customHeight="1" s="7">
      <c r="A36" s="15" t="inlineStr">
        <is>
          <t>3.1  Scénarios Stratégiques</t>
        </is>
      </c>
      <c r="B36" s="72" t="n"/>
      <c r="C36" s="72" t="n"/>
      <c r="D36" s="72" t="n"/>
      <c r="E36" s="72" t="n"/>
      <c r="F36" s="72" t="n"/>
      <c r="G36" s="72" t="n"/>
      <c r="H36" s="72" t="n"/>
    </row>
    <row r="37" ht="23.25" customHeight="1" s="7">
      <c r="A37" s="16" t="inlineStr">
        <is>
          <t>ID</t>
        </is>
      </c>
      <c r="B37" s="17" t="inlineStr">
        <is>
          <t>Scénario Stratégique</t>
        </is>
      </c>
      <c r="C37" s="17" t="inlineStr">
        <is>
          <t>Source (SR)</t>
        </is>
      </c>
      <c r="D37" s="17" t="inlineStr">
        <is>
          <t>Objectif Visé</t>
        </is>
      </c>
      <c r="E37" s="17" t="inlineStr">
        <is>
          <t>Valeur Métier cible</t>
        </is>
      </c>
      <c r="F37" s="17" t="inlineStr">
        <is>
          <t>Chemin d'attaque haut niveau</t>
        </is>
      </c>
      <c r="G37" s="17" t="inlineStr">
        <is>
          <t>Vraisemblance (1-4)</t>
        </is>
      </c>
      <c r="H37" s="18" t="inlineStr">
        <is>
          <t>Gravité (1-4)</t>
        </is>
      </c>
    </row>
    <row r="38" ht="23.25" customHeight="1" s="7">
      <c r="A38" s="19" t="inlineStr">
        <is>
          <t>SS01</t>
        </is>
      </c>
      <c r="B38" s="20" t="inlineStr">
        <is>
          <t>Compromission de la base clients via exploitation web</t>
        </is>
      </c>
      <c r="C38" s="20" t="inlineStr">
        <is>
          <t>SR01 - Cybercriminel</t>
        </is>
      </c>
      <c r="D38" s="20" t="inlineStr">
        <is>
          <t>OV1 – Vol données PII</t>
        </is>
      </c>
      <c r="E38" s="20" t="inlineStr">
        <is>
          <t>VM01 – Gestion clients</t>
        </is>
      </c>
      <c r="F38" s="20" t="inlineStr">
        <is>
          <t>Reconnaissance → Exploitation SQLi/API → Exfiltration BD → Revente dark web</t>
        </is>
      </c>
      <c r="G38" s="20" t="inlineStr">
        <is>
          <t>3</t>
        </is>
      </c>
      <c r="H38" s="22" t="inlineStr">
        <is>
          <t>4</t>
        </is>
      </c>
    </row>
    <row r="39" ht="23.25" customHeight="1" s="7">
      <c r="A39" s="24" t="inlineStr">
        <is>
          <t>SS02</t>
        </is>
      </c>
      <c r="B39" s="25" t="inlineStr">
        <is>
          <t>Ransomware paralysant ERP et production</t>
        </is>
      </c>
      <c r="C39" s="25" t="inlineStr">
        <is>
          <t>SR01 - Cybercriminel</t>
        </is>
      </c>
      <c r="D39" s="25" t="inlineStr">
        <is>
          <t>OV2 – Extorsion</t>
        </is>
      </c>
      <c r="E39" s="25" t="inlineStr">
        <is>
          <t>VM02 – Production ERP</t>
        </is>
      </c>
      <c r="F39" s="25" t="inlineStr">
        <is>
          <t>Phishing employé → Infection poste → Propagation latérale → Chiffrement BD ERP</t>
        </is>
      </c>
      <c r="G39" s="25" t="inlineStr">
        <is>
          <t>2</t>
        </is>
      </c>
      <c r="H39" s="26" t="inlineStr">
        <is>
          <t>4</t>
        </is>
      </c>
    </row>
    <row r="40" ht="23.25" customHeight="1" s="7">
      <c r="A40" s="19" t="inlineStr">
        <is>
          <t>SS03</t>
        </is>
      </c>
      <c r="B40" s="20" t="inlineStr">
        <is>
          <t>Espionnage industriel via exfiltration du code source</t>
        </is>
      </c>
      <c r="C40" s="20" t="inlineStr">
        <is>
          <t>SR02 - Concurrent</t>
        </is>
      </c>
      <c r="D40" s="20" t="inlineStr">
        <is>
          <t>OV3 – Vol code source</t>
        </is>
      </c>
      <c r="E40" s="20" t="inlineStr">
        <is>
          <t>VM03 – Développement</t>
        </is>
      </c>
      <c r="F40" s="20" t="inlineStr">
        <is>
          <t>Accès insider ou compromission Git → Clone dépôt → Exfiltration silencieuse</t>
        </is>
      </c>
      <c r="G40" s="20" t="inlineStr">
        <is>
          <t>1</t>
        </is>
      </c>
      <c r="H40" s="22" t="inlineStr">
        <is>
          <t>3</t>
        </is>
      </c>
    </row>
    <row r="41" ht="23.25" customHeight="1" s="7">
      <c r="A41" s="24" t="inlineStr">
        <is>
          <t>SS04</t>
        </is>
      </c>
      <c r="B41" s="25" t="inlineStr">
        <is>
          <t>Sabotage interne par employé mécontent</t>
        </is>
      </c>
      <c r="C41" s="25" t="inlineStr">
        <is>
          <t>SR03 - Employé malveillant</t>
        </is>
      </c>
      <c r="D41" s="25" t="inlineStr">
        <is>
          <t>OV5 – Sabotage</t>
        </is>
      </c>
      <c r="E41" s="25" t="inlineStr">
        <is>
          <t>VM05 – Gestion financière</t>
        </is>
      </c>
      <c r="F41" s="25" t="inlineStr">
        <is>
          <t>Accès privilégié existant → Suppression/modification données critiques BD</t>
        </is>
      </c>
      <c r="G41" s="25" t="inlineStr">
        <is>
          <t>1</t>
        </is>
      </c>
      <c r="H41" s="26" t="inlineStr">
        <is>
          <t>4</t>
        </is>
      </c>
    </row>
    <row r="42" ht="23.25" customHeight="1" s="7">
      <c r="A42" s="19" t="inlineStr">
        <is>
          <t>SS05</t>
        </is>
      </c>
      <c r="B42" s="20" t="inlineStr">
        <is>
          <t>Accès résiduel d'un ex-employé non révoqué</t>
        </is>
      </c>
      <c r="C42" s="20" t="inlineStr">
        <is>
          <t>SR04 - Ex-employé</t>
        </is>
      </c>
      <c r="D42" s="20" t="inlineStr">
        <is>
          <t>OV5/OV6 – Accès + fuite</t>
        </is>
      </c>
      <c r="E42" s="20" t="inlineStr">
        <is>
          <t>VM04 – Gestion identités</t>
        </is>
      </c>
      <c r="F42" s="20" t="inlineStr">
        <is>
          <t>Compte AD non révoqué → Connexion VPN → Exfiltration données clients</t>
        </is>
      </c>
      <c r="G42" s="20" t="inlineStr">
        <is>
          <t>2</t>
        </is>
      </c>
      <c r="H42" s="22" t="inlineStr">
        <is>
          <t>3</t>
        </is>
      </c>
    </row>
    <row r="43" ht="23.25" customHeight="1" s="7">
      <c r="A43" s="24" t="inlineStr">
        <is>
          <t>SS06</t>
        </is>
      </c>
      <c r="B43" s="25" t="inlineStr">
        <is>
          <t>Attaque ciblée APT sur infrastructure critique</t>
        </is>
      </c>
      <c r="C43" s="25" t="inlineStr">
        <is>
          <t>SR07 - État-nation</t>
        </is>
      </c>
      <c r="D43" s="25" t="inlineStr">
        <is>
          <t>OV9 – Compromission infra</t>
        </is>
      </c>
      <c r="E43" s="25" t="inlineStr">
        <is>
          <t>VM06 – Disponibilité SI</t>
        </is>
      </c>
      <c r="F43" s="25" t="inlineStr">
        <is>
          <t>Spear-phishing ciblé → Implant persistant → Mouvement latéral → Exfiltration long terme</t>
        </is>
      </c>
      <c r="G43" s="25" t="inlineStr">
        <is>
          <t>1</t>
        </is>
      </c>
      <c r="H43" s="26" t="inlineStr">
        <is>
          <t>4</t>
        </is>
      </c>
    </row>
    <row r="44" ht="23.25" customHeight="1" s="7">
      <c r="A44" s="19" t="inlineStr">
        <is>
          <t>SS07</t>
        </is>
      </c>
      <c r="B44" s="20" t="inlineStr">
        <is>
          <t>Compromission via dépendance logicielle malveillante</t>
        </is>
      </c>
      <c r="C44" s="20" t="inlineStr">
        <is>
          <t>SR10 - Supply chain</t>
        </is>
      </c>
      <c r="D44" s="20" t="inlineStr">
        <is>
          <t>OV12 – Code malveillant</t>
        </is>
      </c>
      <c r="E44" s="20" t="inlineStr">
        <is>
          <t>VM03 – Développement</t>
        </is>
      </c>
      <c r="F44" s="20" t="inlineStr">
        <is>
          <t>Dépendance npm/pip compromise → Build CI/CD infecté → Déploiement backdoor prod</t>
        </is>
      </c>
      <c r="G44" s="20" t="inlineStr">
        <is>
          <t>1</t>
        </is>
      </c>
      <c r="H44" s="22" t="inlineStr">
        <is>
          <t>3</t>
        </is>
      </c>
    </row>
    <row r="45" ht="23.25" customHeight="1" s="7">
      <c r="A45" s="28" t="inlineStr">
        <is>
          <t>SS08</t>
        </is>
      </c>
      <c r="B45" s="29" t="inlineStr">
        <is>
          <t>Erreur de configuration cloud exposant des données</t>
        </is>
      </c>
      <c r="C45" s="29" t="inlineStr">
        <is>
          <t>SR08 - Utilisateur accidentel</t>
        </is>
      </c>
      <c r="D45" s="29" t="inlineStr">
        <is>
          <t>OV10 – Fuite accidentelle</t>
        </is>
      </c>
      <c r="E45" s="29" t="inlineStr">
        <is>
          <t>VM01/VM05</t>
        </is>
      </c>
      <c r="F45" s="29" t="inlineStr">
        <is>
          <t>Bucket S3 mal configuré / secrets en dur dans code → Exposition données internet</t>
        </is>
      </c>
      <c r="G45" s="29" t="inlineStr">
        <is>
          <t>2</t>
        </is>
      </c>
      <c r="H45" s="31" t="inlineStr">
        <is>
          <t>3</t>
        </is>
      </c>
    </row>
    <row r="46"/>
    <row r="47"/>
    <row r="48" ht="27.75" customHeight="1" s="7">
      <c r="A48" s="13" t="inlineStr">
        <is>
          <t>ATELIER 4 SCÉNARIOS OPÉRATIONNELS</t>
        </is>
      </c>
    </row>
    <row r="49" ht="15" customHeight="1" s="7">
      <c r="A49" s="14" t="inlineStr">
        <is>
          <t>Objectif : Décrire les scénarios d'attaque au niveau technique détaillé (TTPs, CVE, vecteurs) et évaluer leur vraisemblance opérationnelle.</t>
        </is>
      </c>
    </row>
    <row r="50"/>
    <row r="51" ht="15" customHeight="1" s="7">
      <c r="A51" s="15" t="inlineStr">
        <is>
          <t>4.1 Scénarios Opérationnels Détaillés</t>
        </is>
      </c>
      <c r="B51" s="72" t="n"/>
      <c r="C51" s="72" t="n"/>
      <c r="D51" s="72" t="n"/>
      <c r="E51" s="72" t="n"/>
      <c r="F51" s="72" t="n"/>
      <c r="G51" s="72" t="n"/>
      <c r="H51" s="72" t="n"/>
    </row>
    <row r="52" ht="23.25" customHeight="1" s="7">
      <c r="A52" s="16" t="inlineStr">
        <is>
          <t>ID</t>
        </is>
      </c>
      <c r="B52" s="17" t="inlineStr">
        <is>
          <t>Lié à SS</t>
        </is>
      </c>
      <c r="C52" s="17" t="inlineStr">
        <is>
          <t>Étapes Techniques (TTPs)</t>
        </is>
      </c>
      <c r="D52" s="17" t="inlineStr">
        <is>
          <t>Vecteur initial</t>
        </is>
      </c>
      <c r="E52" s="17" t="inlineStr">
        <is>
          <t>Tactique MITRE ATT&amp;CK</t>
        </is>
      </c>
      <c r="F52" s="17" t="inlineStr">
        <is>
          <t>Indicateurs de compromission</t>
        </is>
      </c>
      <c r="G52" s="17" t="inlineStr">
        <is>
          <t>Vraisemblance (1-4)</t>
        </is>
      </c>
      <c r="H52" s="18" t="inlineStr">
        <is>
          <t>Contrôles détectifs existants</t>
        </is>
      </c>
    </row>
    <row r="53" ht="68.25" customHeight="1" s="7">
      <c r="A53" s="24" t="inlineStr">
        <is>
          <t>SO01</t>
        </is>
      </c>
      <c r="B53" s="25" t="inlineStr">
        <is>
          <t>SS01</t>
        </is>
      </c>
      <c r="C53" s="25" t="inlineStr">
        <is>
          <t>1.Scan ports/vulnérabilités API 2.Injection paramètre SQL 3.Dump table clients 4.Exfiltration HTTPS</t>
        </is>
      </c>
      <c r="D53" s="25" t="inlineStr">
        <is>
          <t>API web exposée sans WAF</t>
        </is>
      </c>
      <c r="E53" s="25" t="inlineStr">
        <is>
          <t>TA0001 Init Access &gt; T1190 Exploit Public App &gt; T1041 Exfiltration</t>
        </is>
      </c>
      <c r="F53" s="25" t="inlineStr">
        <is>
          <t>Requêtes SQL anormales, logs WAF, volumétrie réseau sortant</t>
        </is>
      </c>
      <c r="G53" s="25" t="inlineStr">
        <is>
          <t>3</t>
        </is>
      </c>
      <c r="H53" s="26" t="inlineStr">
        <is>
          <t>WAF partiel, logs applicatifs</t>
        </is>
      </c>
    </row>
    <row r="54" ht="79.5" customHeight="1" s="7">
      <c r="A54" s="19" t="inlineStr">
        <is>
          <t>SO02</t>
        </is>
      </c>
      <c r="B54" s="20" t="inlineStr">
        <is>
          <t>SS02</t>
        </is>
      </c>
      <c r="C54" s="20" t="inlineStr">
        <is>
          <t>1.Email phishing pièce jointe .docm 2.Macro VBA dropper 3.Cobalt Strike beacon 4.Mouvement latéral SMB 5.Déploiement ransomware</t>
        </is>
      </c>
      <c r="D54" s="20" t="inlineStr">
        <is>
          <t>Email avec macro Office piégée</t>
        </is>
      </c>
      <c r="E54" s="20" t="inlineStr">
        <is>
          <t>TA0001 &gt; T1566.001 Phishing &gt; T1486 Data Encrypted</t>
        </is>
      </c>
      <c r="F54" s="20" t="inlineStr">
        <is>
          <t>Email suspect, processus WINWORD anormal, chiffrement fichiers massif</t>
        </is>
      </c>
      <c r="G54" s="20" t="inlineStr">
        <is>
          <t>2</t>
        </is>
      </c>
      <c r="H54" s="22" t="inlineStr">
        <is>
          <t>Antivirus basique, pas EDR complet</t>
        </is>
      </c>
    </row>
    <row r="55" ht="57" customHeight="1" s="7">
      <c r="A55" s="24" t="inlineStr">
        <is>
          <t>SO03</t>
        </is>
      </c>
      <c r="B55" s="25" t="inlineStr">
        <is>
          <t>SS03</t>
        </is>
      </c>
      <c r="C55" s="25" t="inlineStr">
        <is>
          <t>1.Credential stuffing compte développeur 2.Clone dépôt Git 3.Exfiltration archive .zip via réseau</t>
        </is>
      </c>
      <c r="D55" s="25" t="inlineStr">
        <is>
          <t>Credential réutilisé sur GitHub</t>
        </is>
      </c>
      <c r="E55" s="25" t="inlineStr">
        <is>
          <t>TA0006 Cred Access &gt; T1078 Valid Accounts &gt; T1048 Exfil Alt Protocol</t>
        </is>
      </c>
      <c r="F55" s="25" t="inlineStr">
        <is>
          <t>Clone Git inhabituel, connexion heure non ouvrée, téléchargement archive</t>
        </is>
      </c>
      <c r="G55" s="25" t="inlineStr">
        <is>
          <t>1</t>
        </is>
      </c>
      <c r="H55" s="26" t="inlineStr">
        <is>
          <t>Audit Git partiel</t>
        </is>
      </c>
    </row>
    <row r="56" ht="68.25" customHeight="1" s="7">
      <c r="A56" s="19" t="inlineStr">
        <is>
          <t>SO04</t>
        </is>
      </c>
      <c r="B56" s="20" t="inlineStr">
        <is>
          <t>SS04</t>
        </is>
      </c>
      <c r="C56" s="20" t="inlineStr">
        <is>
          <t>1.Connexion compte privilégié légitme 2.Accès direct BD via outil admin 3.Suppression/modification enregistrements</t>
        </is>
      </c>
      <c r="D56" s="20" t="inlineStr">
        <is>
          <t>Accès privilégié interne légitime mal contrôlé</t>
        </is>
      </c>
      <c r="E56" s="20" t="inlineStr">
        <is>
          <t>TA0003 Persistence &gt; T1078 &gt; T1485 Data Destruction</t>
        </is>
      </c>
      <c r="F56" s="20" t="inlineStr">
        <is>
          <t>Requêtes DELETE/UPDATE hors norme, connexion hors horaires</t>
        </is>
      </c>
      <c r="G56" s="20" t="inlineStr">
        <is>
          <t>1</t>
        </is>
      </c>
      <c r="H56" s="22" t="inlineStr">
        <is>
          <t>Audit trail basique</t>
        </is>
      </c>
    </row>
    <row r="57" ht="57" customHeight="1" s="7">
      <c r="A57" s="24" t="inlineStr">
        <is>
          <t>SO05</t>
        </is>
      </c>
      <c r="B57" s="25" t="inlineStr">
        <is>
          <t>SS05</t>
        </is>
      </c>
      <c r="C57" s="25" t="inlineStr">
        <is>
          <t>1.Connexion VPN avec compte non révoqué 2.Accès ressources internes 3.Exfiltration e-mail ou USB</t>
        </is>
      </c>
      <c r="D57" s="25" t="inlineStr">
        <is>
          <t>Compte AD actif post-départ</t>
        </is>
      </c>
      <c r="E57" s="25" t="inlineStr">
        <is>
          <t>TA0001 &gt; T1078 Valid Accounts</t>
        </is>
      </c>
      <c r="F57" s="25" t="inlineStr">
        <is>
          <t>Connexion VPN compte inactif, accès ressources hors contexte</t>
        </is>
      </c>
      <c r="G57" s="25" t="inlineStr">
        <is>
          <t>2</t>
        </is>
      </c>
      <c r="H57" s="26" t="inlineStr">
        <is>
          <t>Procédure révocation partielle</t>
        </is>
      </c>
    </row>
    <row r="58" ht="57" customHeight="1" s="7">
      <c r="A58" s="19" t="inlineStr">
        <is>
          <t>SO06</t>
        </is>
      </c>
      <c r="B58" s="20" t="inlineStr">
        <is>
          <t>SS06</t>
        </is>
      </c>
      <c r="C58" s="20" t="inlineStr">
        <is>
          <t>1.Spear-phishing ciblé DG/CTO 2.Exploitation CVE navigateur/Office 3.Implant persistant 4.Exfiltration chiffrée C2</t>
        </is>
      </c>
      <c r="D58" s="20" t="inlineStr">
        <is>
          <t>Email ultra-ciblé, exploit 0-day</t>
        </is>
      </c>
      <c r="E58" s="20" t="inlineStr">
        <is>
          <t>TA0001 &gt; T1566.002 &gt; T1055 Process Injection &gt; T1071 C2</t>
        </is>
      </c>
      <c r="F58" s="20" t="inlineStr">
        <is>
          <t>Trafic C2 chiffré inhabituel, implant en mémoire, persistance registre</t>
        </is>
      </c>
      <c r="G58" s="20" t="inlineStr">
        <is>
          <t>1</t>
        </is>
      </c>
      <c r="H58" s="22" t="inlineStr">
        <is>
          <t>SOC minimal, pas threat intel</t>
        </is>
      </c>
    </row>
    <row r="59" ht="79.5" customHeight="1" s="7">
      <c r="A59" s="24" t="inlineStr">
        <is>
          <t>SO07</t>
        </is>
      </c>
      <c r="B59" s="25" t="inlineStr">
        <is>
          <t>SS07</t>
        </is>
      </c>
      <c r="C59" s="25" t="inlineStr">
        <is>
          <t>1.Publication dépendance npm typosquatée 2.Installation automatique via npm install 3.Exécution code malveillant build</t>
        </is>
      </c>
      <c r="D59" s="25" t="inlineStr">
        <is>
          <t>Pipeline CI/CD sans contrôle dépendances</t>
        </is>
      </c>
      <c r="E59" s="25" t="inlineStr">
        <is>
          <t>TA0001 &gt; T1195.001 Supply Chain Compromise</t>
        </is>
      </c>
      <c r="F59" s="25" t="inlineStr">
        <is>
          <t>Hash dépendance modifié, comportement réseau anormal post-build</t>
        </is>
      </c>
      <c r="G59" s="25" t="inlineStr">
        <is>
          <t>1</t>
        </is>
      </c>
      <c r="H59" s="26" t="inlineStr">
        <is>
          <t>Pas de SBOM ni scan dépendances</t>
        </is>
      </c>
    </row>
    <row r="60" ht="57" customHeight="1" s="7">
      <c r="A60" s="36" t="inlineStr">
        <is>
          <t>SO08</t>
        </is>
      </c>
      <c r="B60" s="37" t="inlineStr">
        <is>
          <t>SS08</t>
        </is>
      </c>
      <c r="C60" s="37" t="inlineStr">
        <is>
          <t>1.Bucket S3 créé sans politique IAM restrictive 2.Moteur de recherche indexe URL 3.Accès anonyme données</t>
        </is>
      </c>
      <c r="D60" s="37" t="inlineStr">
        <is>
          <t>Erreur configuration IaC / console</t>
        </is>
      </c>
      <c r="E60" s="37" t="inlineStr">
        <is>
          <t>TA0009 Collection &gt; T1530 Data from Cloud</t>
        </is>
      </c>
      <c r="F60" s="37" t="inlineStr">
        <is>
          <t>Bucket public dans AWS Config, alerte Macie, accès anonyme logs</t>
        </is>
      </c>
      <c r="G60" s="37" t="inlineStr">
        <is>
          <t>2</t>
        </is>
      </c>
      <c r="H60" s="39" t="inlineStr">
        <is>
          <t>IaC partiel, pas de scan config auto</t>
        </is>
      </c>
    </row>
    <row r="61"/>
    <row r="62"/>
    <row r="63" ht="27.75" customHeight="1" s="7">
      <c r="A63" s="13" t="inlineStr">
        <is>
          <t>ATELIER 5 – TRAITEMENT DU RISQUE (voir onglet 'Traitement ISO27001')</t>
        </is>
      </c>
    </row>
    <row r="64" ht="15" customHeight="1" s="7">
      <c r="A64" s="14" t="inlineStr">
        <is>
          <t>L'atelier 5 est développé intégralement dans l'onglet 'Traitement ISO27001' : décisions RÉDUIRE/TRANSFÉRER/ACCEPTER/ÉVITER pour les 20 menaces, contrôles ISO 27001:2022 mappés, délais, responsables et risques résiduels calculés.</t>
        </is>
      </c>
    </row>
  </sheetData>
  <mergeCells count="14">
    <mergeCell ref="A4:H4"/>
    <mergeCell ref="A48:H48"/>
    <mergeCell ref="A34:H34"/>
    <mergeCell ref="A2:H2"/>
    <mergeCell ref="A63:H63"/>
    <mergeCell ref="A64:H64"/>
    <mergeCell ref="A51:H51"/>
    <mergeCell ref="A16:H16"/>
    <mergeCell ref="A33:H33"/>
    <mergeCell ref="A36:H36"/>
    <mergeCell ref="A49:H49"/>
    <mergeCell ref="A19:H19"/>
    <mergeCell ref="A1:H1"/>
    <mergeCell ref="A17:H17"/>
  </mergeCells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:XFD1048576"/>
    </sheetView>
  </sheetViews>
  <sheetFormatPr baseColWidth="10" defaultColWidth="8.7265625" defaultRowHeight="14.5"/>
  <cols>
    <col width="18" customWidth="1" style="7" min="1" max="1"/>
    <col width="22.90625" customWidth="1" style="7" min="2" max="2"/>
    <col width="18" customWidth="1" style="7" min="3" max="6"/>
    <col width="19.6328125" customWidth="1" style="7" min="7" max="7"/>
  </cols>
  <sheetData>
    <row r="1" ht="14.25" customHeight="1" s="7">
      <c r="A1" s="40" t="inlineStr">
        <is>
          <t>ID</t>
        </is>
      </c>
      <c r="B1" s="40" t="inlineStr">
        <is>
          <t>Actif</t>
        </is>
      </c>
      <c r="C1" s="40" t="inlineStr">
        <is>
          <t>Type</t>
        </is>
      </c>
      <c r="D1" s="40" t="inlineStr">
        <is>
          <t>Classification</t>
        </is>
      </c>
      <c r="E1" s="40" t="inlineStr">
        <is>
          <t>Propriétaire</t>
        </is>
      </c>
      <c r="F1" s="40" t="inlineStr">
        <is>
          <t>Criticité</t>
        </is>
      </c>
      <c r="G1" s="40" t="inlineStr">
        <is>
          <t>Commentaire</t>
        </is>
      </c>
    </row>
    <row r="2" ht="14.25" customHeight="1" s="7">
      <c r="A2" s="41" t="inlineStr">
        <is>
          <t>A001</t>
        </is>
      </c>
      <c r="B2" s="41" t="inlineStr">
        <is>
          <t>Base de données clients</t>
        </is>
      </c>
      <c r="C2" s="41" t="inlineStr">
        <is>
          <t>Métier</t>
        </is>
      </c>
      <c r="D2" s="41" t="inlineStr">
        <is>
          <t>CONFIDENTIEL</t>
        </is>
      </c>
      <c r="E2" s="41" t="inlineStr">
        <is>
          <t>DBA</t>
        </is>
      </c>
      <c r="F2" s="41" t="inlineStr">
        <is>
          <t>CRITIQUE</t>
        </is>
      </c>
      <c r="G2" s="32" t="n"/>
    </row>
    <row r="3" ht="14.25" customHeight="1" s="7">
      <c r="A3" s="41" t="inlineStr">
        <is>
          <t>A002</t>
        </is>
      </c>
      <c r="B3" s="41" t="inlineStr">
        <is>
          <t>ERP Sage 100</t>
        </is>
      </c>
      <c r="C3" s="41" t="inlineStr">
        <is>
          <t>Métier</t>
        </is>
      </c>
      <c r="D3" s="41" t="inlineStr">
        <is>
          <t>CRITIQUE</t>
        </is>
      </c>
      <c r="E3" s="41" t="inlineStr">
        <is>
          <t>Chef projet</t>
        </is>
      </c>
      <c r="F3" s="41" t="inlineStr">
        <is>
          <t>CRITIQUE</t>
        </is>
      </c>
      <c r="G3" s="32" t="n"/>
    </row>
    <row r="4" ht="14.25" customHeight="1" s="7">
      <c r="A4" s="41" t="inlineStr">
        <is>
          <t>A003</t>
        </is>
      </c>
      <c r="B4" s="41" t="inlineStr">
        <is>
          <t>Dépôt Git</t>
        </is>
      </c>
      <c r="C4" s="41" t="inlineStr">
        <is>
          <t>Métier</t>
        </is>
      </c>
      <c r="D4" s="41" t="inlineStr">
        <is>
          <t>CONFIDENTIEL</t>
        </is>
      </c>
      <c r="E4" s="41" t="inlineStr">
        <is>
          <t>CTO</t>
        </is>
      </c>
      <c r="F4" s="41" t="inlineStr">
        <is>
          <t>HAUTE</t>
        </is>
      </c>
      <c r="G4" s="32" t="n"/>
    </row>
    <row r="5" ht="14.25" customHeight="1" s="7">
      <c r="A5" s="41" t="inlineStr">
        <is>
          <t>A004</t>
        </is>
      </c>
      <c r="B5" s="41" t="inlineStr">
        <is>
          <t>Comptes AD</t>
        </is>
      </c>
      <c r="C5" s="41" t="inlineStr">
        <is>
          <t>Technique</t>
        </is>
      </c>
      <c r="D5" s="41" t="inlineStr">
        <is>
          <t>SECRET</t>
        </is>
      </c>
      <c r="E5" s="41" t="inlineStr">
        <is>
          <t>Admin IT</t>
        </is>
      </c>
      <c r="F5" s="41" t="inlineStr">
        <is>
          <t>CRITIQUE</t>
        </is>
      </c>
      <c r="G5" s="32" t="n"/>
    </row>
    <row r="6" ht="14.25" customHeight="1" s="7">
      <c r="A6" s="41" t="inlineStr">
        <is>
          <t>A005</t>
        </is>
      </c>
      <c r="B6" s="41" t="inlineStr">
        <is>
          <t>Données financières</t>
        </is>
      </c>
      <c r="C6" s="41" t="inlineStr">
        <is>
          <t>Métier</t>
        </is>
      </c>
      <c r="D6" s="41" t="inlineStr">
        <is>
          <t>CONFIDENTIEL</t>
        </is>
      </c>
      <c r="E6" s="41" t="inlineStr">
        <is>
          <t>DAF</t>
        </is>
      </c>
      <c r="F6" s="41" t="inlineStr">
        <is>
          <t>CRITIQUE</t>
        </is>
      </c>
      <c r="G6" s="32" t="n"/>
    </row>
    <row r="7" ht="14.25" customHeight="1" s="7">
      <c r="A7" s="41" t="inlineStr">
        <is>
          <t>A006</t>
        </is>
      </c>
      <c r="B7" s="41" t="inlineStr">
        <is>
          <t>Documents clients</t>
        </is>
      </c>
      <c r="C7" s="41" t="inlineStr">
        <is>
          <t>Support</t>
        </is>
      </c>
      <c r="D7" s="41" t="inlineStr">
        <is>
          <t>CONFIDENTIEL</t>
        </is>
      </c>
      <c r="E7" s="41" t="inlineStr">
        <is>
          <t>Admin doc</t>
        </is>
      </c>
      <c r="F7" s="41" t="inlineStr">
        <is>
          <t>HAUTE</t>
        </is>
      </c>
      <c r="G7" s="32" t="n"/>
    </row>
    <row r="8" ht="14.25" customHeight="1" s="7">
      <c r="A8" s="41" t="inlineStr">
        <is>
          <t>A007</t>
        </is>
      </c>
      <c r="B8" s="41" t="inlineStr">
        <is>
          <t>Équipements réseau</t>
        </is>
      </c>
      <c r="C8" s="41" t="inlineStr">
        <is>
          <t>Technique</t>
        </is>
      </c>
      <c r="D8" s="41" t="inlineStr">
        <is>
          <t>INTERNE</t>
        </is>
      </c>
      <c r="E8" s="41" t="inlineStr">
        <is>
          <t>Admin réseau</t>
        </is>
      </c>
      <c r="F8" s="41" t="inlineStr">
        <is>
          <t>CRITIQUE</t>
        </is>
      </c>
      <c r="G8" s="32" t="n"/>
    </row>
    <row r="9" ht="14.25" customHeight="1" s="7">
      <c r="A9" s="41" t="inlineStr">
        <is>
          <t>A008</t>
        </is>
      </c>
      <c r="B9" s="41" t="inlineStr">
        <is>
          <t>Postes travail</t>
        </is>
      </c>
      <c r="C9" s="41" t="inlineStr">
        <is>
          <t>Technique</t>
        </is>
      </c>
      <c r="D9" s="41" t="inlineStr">
        <is>
          <t>INTERNE</t>
        </is>
      </c>
      <c r="E9" s="41" t="inlineStr">
        <is>
          <t>Admin poste</t>
        </is>
      </c>
      <c r="F9" s="41" t="inlineStr">
        <is>
          <t>MOYENNE</t>
        </is>
      </c>
      <c r="G9" s="32" t="n"/>
    </row>
    <row r="10" ht="14.25" customHeight="1" s="7">
      <c r="A10" s="41" t="inlineStr">
        <is>
          <t>A009</t>
        </is>
      </c>
      <c r="B10" s="41" t="inlineStr">
        <is>
          <t>Site web public</t>
        </is>
      </c>
      <c r="C10" s="41" t="inlineStr">
        <is>
          <t>Support</t>
        </is>
      </c>
      <c r="D10" s="41" t="inlineStr">
        <is>
          <t>INTERNE</t>
        </is>
      </c>
      <c r="E10" s="41" t="inlineStr">
        <is>
          <t>Webmaster</t>
        </is>
      </c>
      <c r="F10" s="41" t="inlineStr">
        <is>
          <t>MOYENNE</t>
        </is>
      </c>
      <c r="G10" s="32" t="n"/>
    </row>
    <row r="11" ht="14.25" customHeight="1" s="7">
      <c r="A11" s="41" t="inlineStr">
        <is>
          <t>A010</t>
        </is>
      </c>
      <c r="B11" s="41" t="inlineStr">
        <is>
          <t>Sauvegardes données</t>
        </is>
      </c>
      <c r="C11" s="41" t="inlineStr">
        <is>
          <t>Support</t>
        </is>
      </c>
      <c r="D11" s="41" t="inlineStr">
        <is>
          <t>CONFIDENTIEL</t>
        </is>
      </c>
      <c r="E11" s="41" t="inlineStr">
        <is>
          <t>Admin IT</t>
        </is>
      </c>
      <c r="F11" s="41" t="inlineStr">
        <is>
          <t>CRITIQUE</t>
        </is>
      </c>
      <c r="G11" s="3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zoomScale="86" workbookViewId="0">
      <selection activeCell="M9" sqref="M9"/>
    </sheetView>
  </sheetViews>
  <sheetFormatPr baseColWidth="10" defaultColWidth="8.7265625" defaultRowHeight="14.5"/>
  <cols>
    <col width="18" customWidth="1" style="7" min="1" max="6"/>
  </cols>
  <sheetData>
    <row r="1" ht="14.25" customHeight="1" s="7">
      <c r="A1" s="40" t="inlineStr">
        <is>
          <t>ID</t>
        </is>
      </c>
      <c r="B1" s="40" t="inlineStr">
        <is>
          <t>Événement</t>
        </is>
      </c>
      <c r="C1" s="40" t="inlineStr">
        <is>
          <t>Source</t>
        </is>
      </c>
      <c r="D1" s="40" t="inlineStr">
        <is>
          <t>Actif</t>
        </is>
      </c>
      <c r="E1" s="40" t="inlineStr">
        <is>
          <t>Impact</t>
        </is>
      </c>
      <c r="F1" s="40" t="inlineStr">
        <is>
          <t>Gravité</t>
        </is>
      </c>
    </row>
    <row r="2" ht="14.25" customHeight="1" s="7">
      <c r="A2" s="41" t="inlineStr">
        <is>
          <t>E001</t>
        </is>
      </c>
      <c r="B2" s="41" t="inlineStr">
        <is>
          <t>Injection SQL</t>
        </is>
      </c>
      <c r="C2" s="41" t="inlineStr">
        <is>
          <t>Hacker externe</t>
        </is>
      </c>
      <c r="D2" s="41" t="inlineStr">
        <is>
          <t>BD Clients</t>
        </is>
      </c>
      <c r="E2" s="41" t="inlineStr">
        <is>
          <t>Vol PII clients</t>
        </is>
      </c>
      <c r="F2" s="41" t="n">
        <v>5</v>
      </c>
    </row>
    <row r="3" ht="14.25" customHeight="1" s="7">
      <c r="A3" s="41" t="inlineStr">
        <is>
          <t>E002</t>
        </is>
      </c>
      <c r="B3" s="41" t="inlineStr">
        <is>
          <t>Ransomware</t>
        </is>
      </c>
      <c r="C3" s="41" t="inlineStr">
        <is>
          <t>Cybercriminel</t>
        </is>
      </c>
      <c r="D3" s="41" t="inlineStr">
        <is>
          <t>ERP + BD</t>
        </is>
      </c>
      <c r="E3" s="41" t="inlineStr">
        <is>
          <t>Arrêt 1 semaine</t>
        </is>
      </c>
      <c r="F3" s="41" t="n">
        <v>5</v>
      </c>
    </row>
    <row r="4" ht="14.25" customHeight="1" s="7">
      <c r="A4" s="41" t="inlineStr">
        <is>
          <t>E003</t>
        </is>
      </c>
      <c r="B4" s="41" t="inlineStr">
        <is>
          <t>Vol credentials</t>
        </is>
      </c>
      <c r="C4" s="41" t="inlineStr">
        <is>
          <t>Insider</t>
        </is>
      </c>
      <c r="D4" s="41" t="inlineStr">
        <is>
          <t>Systèmes</t>
        </is>
      </c>
      <c r="E4" s="41" t="inlineStr">
        <is>
          <t>Accès non-autorisé</t>
        </is>
      </c>
      <c r="F4" s="41" t="n">
        <v>4</v>
      </c>
    </row>
    <row r="5" ht="14.25" customHeight="1" s="7">
      <c r="A5" s="41" t="inlineStr">
        <is>
          <t>E004</t>
        </is>
      </c>
      <c r="B5" s="41" t="inlineStr">
        <is>
          <t>DDoS site</t>
        </is>
      </c>
      <c r="C5" s="41" t="inlineStr">
        <is>
          <t>Hacker</t>
        </is>
      </c>
      <c r="D5" s="41" t="inlineStr">
        <is>
          <t>Réseau</t>
        </is>
      </c>
      <c r="E5" s="41" t="inlineStr">
        <is>
          <t>Arrêt 4h</t>
        </is>
      </c>
      <c r="F5" s="41" t="n">
        <v>2</v>
      </c>
    </row>
    <row r="6" ht="14.25" customHeight="1" s="7">
      <c r="A6" s="41" t="inlineStr">
        <is>
          <t>E005</t>
        </is>
      </c>
      <c r="B6" s="41" t="inlineStr">
        <is>
          <t>Sabotage données</t>
        </is>
      </c>
      <c r="C6" s="41" t="inlineStr">
        <is>
          <t>Employé malveillant</t>
        </is>
      </c>
      <c r="D6" s="41" t="inlineStr">
        <is>
          <t>BD</t>
        </is>
      </c>
      <c r="E6" s="41" t="inlineStr">
        <is>
          <t>Corruption données</t>
        </is>
      </c>
      <c r="F6" s="41" t="n">
        <v>4</v>
      </c>
    </row>
    <row r="7" ht="14.25" customHeight="1" s="7">
      <c r="A7" s="41" t="inlineStr">
        <is>
          <t>E006</t>
        </is>
      </c>
      <c r="B7" s="41" t="inlineStr">
        <is>
          <t>Exfiltration secrets</t>
        </is>
      </c>
      <c r="C7" s="41" t="inlineStr">
        <is>
          <t>Concurrent</t>
        </is>
      </c>
      <c r="D7" s="41" t="inlineStr">
        <is>
          <t>Code</t>
        </is>
      </c>
      <c r="E7" s="41" t="inlineStr">
        <is>
          <t>Perte IP</t>
        </is>
      </c>
      <c r="F7" s="41" t="n">
        <v>4</v>
      </c>
    </row>
    <row r="8" ht="14.25" customHeight="1" s="7">
      <c r="A8" s="41" t="inlineStr">
        <is>
          <t>E007</t>
        </is>
      </c>
      <c r="B8" s="41" t="inlineStr">
        <is>
          <t>Défaillance infra</t>
        </is>
      </c>
      <c r="C8" s="41" t="inlineStr">
        <is>
          <t>Panne hardware</t>
        </is>
      </c>
      <c r="D8" s="41" t="inlineStr">
        <is>
          <t>Serveurs</t>
        </is>
      </c>
      <c r="E8" s="41" t="inlineStr">
        <is>
          <t>Indisponibilité 6h</t>
        </is>
      </c>
      <c r="F8" s="41" t="n">
        <v>4</v>
      </c>
    </row>
    <row r="9" ht="14.25" customHeight="1" s="7">
      <c r="A9" s="41" t="inlineStr">
        <is>
          <t>E008</t>
        </is>
      </c>
      <c r="B9" s="41" t="inlineStr">
        <is>
          <t>Malware email</t>
        </is>
      </c>
      <c r="C9" s="41" t="inlineStr">
        <is>
          <t>Phishing</t>
        </is>
      </c>
      <c r="D9" s="41" t="inlineStr">
        <is>
          <t>Postes</t>
        </is>
      </c>
      <c r="E9" s="41" t="inlineStr">
        <is>
          <t>Propagation</t>
        </is>
      </c>
      <c r="F9" s="41" t="n">
        <v>3</v>
      </c>
    </row>
    <row r="10" ht="14.25" customHeight="1" s="7">
      <c r="A10" s="41" t="inlineStr">
        <is>
          <t>E009</t>
        </is>
      </c>
      <c r="B10" s="41" t="inlineStr">
        <is>
          <t>Intrusion physique</t>
        </is>
      </c>
      <c r="C10" s="41" t="inlineStr">
        <is>
          <t>Intrus</t>
        </is>
      </c>
      <c r="D10" s="41" t="inlineStr">
        <is>
          <t>Datacenter</t>
        </is>
      </c>
      <c r="E10" s="41" t="inlineStr">
        <is>
          <t>Installation malware</t>
        </is>
      </c>
      <c r="F10" s="41" t="n">
        <v>3</v>
      </c>
    </row>
    <row r="11" ht="14.25" customHeight="1" s="7">
      <c r="A11" s="41" t="inlineStr">
        <is>
          <t>E010</t>
        </is>
      </c>
      <c r="B11" s="41" t="inlineStr">
        <is>
          <t>Fuite USB</t>
        </is>
      </c>
      <c r="C11" s="41" t="inlineStr">
        <is>
          <t>Employé</t>
        </is>
      </c>
      <c r="D11" s="41" t="inlineStr">
        <is>
          <t>Données</t>
        </is>
      </c>
      <c r="E11" s="41" t="inlineStr">
        <is>
          <t>Exposition PII</t>
        </is>
      </c>
      <c r="F11" s="41" t="n">
        <v>4</v>
      </c>
    </row>
    <row r="12" ht="14.25" customHeight="1" s="7">
      <c r="A12" s="41" t="inlineStr">
        <is>
          <t>E011</t>
        </is>
      </c>
      <c r="B12" s="41" t="inlineStr">
        <is>
          <t>Brèche RGPD</t>
        </is>
      </c>
      <c r="C12" s="41" t="inlineStr">
        <is>
          <t>Incident</t>
        </is>
      </c>
      <c r="D12" s="41" t="inlineStr">
        <is>
          <t>BD clients</t>
        </is>
      </c>
      <c r="E12" s="41" t="inlineStr">
        <is>
          <t>Amende CNIL</t>
        </is>
      </c>
      <c r="F12" s="41" t="n">
        <v>5</v>
      </c>
    </row>
    <row r="13" ht="14.25" customHeight="1" s="7">
      <c r="A13" s="41" t="inlineStr">
        <is>
          <t>E012</t>
        </is>
      </c>
      <c r="B13" s="41" t="inlineStr">
        <is>
          <t>MITM</t>
        </is>
      </c>
      <c r="C13" s="41" t="inlineStr">
        <is>
          <t>Hacker réseau</t>
        </is>
      </c>
      <c r="D13" s="41" t="inlineStr">
        <is>
          <t>Comms</t>
        </is>
      </c>
      <c r="E13" s="41" t="inlineStr">
        <is>
          <t>Vol identifiants</t>
        </is>
      </c>
      <c r="F13" s="41" t="n">
        <v>3</v>
      </c>
    </row>
    <row r="14" ht="14.25" customHeight="1" s="7">
      <c r="A14" s="41" t="inlineStr">
        <is>
          <t>E013</t>
        </is>
      </c>
      <c r="B14" s="41" t="inlineStr">
        <is>
          <t>Escalade priv</t>
        </is>
      </c>
      <c r="C14" s="41" t="inlineStr">
        <is>
          <t>CVE</t>
        </is>
      </c>
      <c r="D14" s="41" t="inlineStr">
        <is>
          <t>Systèmes</t>
        </is>
      </c>
      <c r="E14" s="41" t="inlineStr">
        <is>
          <t>Accès admin</t>
        </is>
      </c>
      <c r="F14" s="41" t="n">
        <v>4</v>
      </c>
    </row>
    <row r="15" ht="14.25" customHeight="1" s="7">
      <c r="A15" s="41" t="inlineStr">
        <is>
          <t>E014</t>
        </is>
      </c>
      <c r="B15" s="41" t="inlineStr">
        <is>
          <t>APT ciblée</t>
        </is>
      </c>
      <c r="C15" s="41" t="inlineStr">
        <is>
          <t>État-nation</t>
        </is>
      </c>
      <c r="D15" s="41" t="inlineStr">
        <is>
          <t>Infra</t>
        </is>
      </c>
      <c r="E15" s="41" t="inlineStr">
        <is>
          <t>Compromission</t>
        </is>
      </c>
      <c r="F15" s="41" t="n">
        <v>5</v>
      </c>
    </row>
    <row r="16" ht="14.25" customHeight="1" s="7">
      <c r="A16" s="41" t="inlineStr">
        <is>
          <t>E015</t>
        </is>
      </c>
      <c r="B16" s="41" t="inlineStr">
        <is>
          <t>Config erreur</t>
        </is>
      </c>
      <c r="C16" s="41" t="inlineStr">
        <is>
          <t>Erreur ops</t>
        </is>
      </c>
      <c r="D16" s="41" t="inlineStr">
        <is>
          <t>Cloud</t>
        </is>
      </c>
      <c r="E16" s="41" t="inlineStr">
        <is>
          <t>Exposition données</t>
        </is>
      </c>
      <c r="F16" s="41" t="n">
        <v>3</v>
      </c>
    </row>
    <row r="17" ht="14.25" customHeight="1" s="7">
      <c r="A17" s="41" t="inlineStr">
        <is>
          <t>E016</t>
        </is>
      </c>
      <c r="B17" s="41" t="inlineStr">
        <is>
          <t>Perte fournisseur</t>
        </is>
      </c>
      <c r="C17" s="41" t="inlineStr">
        <is>
          <t>Défaillance tiers</t>
        </is>
      </c>
      <c r="D17" s="41" t="inlineStr">
        <is>
          <t>Services</t>
        </is>
      </c>
      <c r="E17" s="41" t="inlineStr">
        <is>
          <t>Perte capacité</t>
        </is>
      </c>
      <c r="F17" s="41" t="n">
        <v>2</v>
      </c>
    </row>
    <row r="18" ht="14.25" customHeight="1" s="7">
      <c r="A18" s="41" t="inlineStr">
        <is>
          <t>E017</t>
        </is>
      </c>
      <c r="B18" s="41" t="inlineStr">
        <is>
          <t>Backdoor code</t>
        </is>
      </c>
      <c r="C18" s="41" t="inlineStr">
        <is>
          <t>Dev malveillant</t>
        </is>
      </c>
      <c r="D18" s="41" t="inlineStr">
        <is>
          <t>Apps</t>
        </is>
      </c>
      <c r="E18" s="41" t="inlineStr">
        <is>
          <t>Porte arrière</t>
        </is>
      </c>
      <c r="F18" s="41" t="n">
        <v>4</v>
      </c>
    </row>
    <row r="19" ht="14.25" customHeight="1" s="7">
      <c r="A19" s="41" t="inlineStr">
        <is>
          <t>E018</t>
        </is>
      </c>
      <c r="B19" s="41" t="inlineStr">
        <is>
          <t>Phishing</t>
        </is>
      </c>
      <c r="C19" s="41" t="inlineStr">
        <is>
          <t>Email frauduleux</t>
        </is>
      </c>
      <c r="D19" s="41" t="inlineStr">
        <is>
          <t>Email</t>
        </is>
      </c>
      <c r="E19" s="41" t="inlineStr">
        <is>
          <t>Vol credentials</t>
        </is>
      </c>
      <c r="F19" s="41" t="n">
        <v>3</v>
      </c>
    </row>
    <row r="20" ht="14.25" customHeight="1" s="7">
      <c r="A20" s="41" t="inlineStr">
        <is>
          <t>E019</t>
        </is>
      </c>
      <c r="B20" s="41" t="inlineStr">
        <is>
          <t>Dépendance malveillante</t>
        </is>
      </c>
      <c r="C20" s="41" t="inlineStr">
        <is>
          <t>Chaîne logicielle</t>
        </is>
      </c>
      <c r="D20" s="41" t="inlineStr">
        <is>
          <t>Code</t>
        </is>
      </c>
      <c r="E20" s="41" t="inlineStr">
        <is>
          <t>Code malveillant</t>
        </is>
      </c>
      <c r="F20" s="41" t="n">
        <v>4</v>
      </c>
    </row>
    <row r="21" ht="14.25" customHeight="1" s="7">
      <c r="A21" s="41" t="inlineStr">
        <is>
          <t>E020</t>
        </is>
      </c>
      <c r="B21" s="41" t="inlineStr">
        <is>
          <t>Non-conformité</t>
        </is>
      </c>
      <c r="C21" s="41" t="inlineStr">
        <is>
          <t>Audit</t>
        </is>
      </c>
      <c r="D21" s="41" t="inlineStr">
        <is>
          <t>Tous</t>
        </is>
      </c>
      <c r="E21" s="41" t="inlineStr">
        <is>
          <t>Pénalité</t>
        </is>
      </c>
      <c r="F21" s="41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zoomScale="39" workbookViewId="0">
      <selection activeCell="AA11" sqref="AA11"/>
    </sheetView>
  </sheetViews>
  <sheetFormatPr baseColWidth="10" defaultColWidth="8.7265625" defaultRowHeight="14.5"/>
  <cols>
    <col width="12.08984375" customWidth="1" style="7" min="1" max="1"/>
    <col width="28.1796875" customWidth="1" style="7" min="2" max="2"/>
    <col width="18" customWidth="1" style="7" min="3" max="4"/>
    <col width="31.54296875" customWidth="1" style="7" min="5" max="5"/>
    <col width="36.453125" customWidth="1" style="7" min="6" max="6"/>
    <col width="33.81640625" customWidth="1" style="7" min="7" max="7"/>
    <col width="16.36328125" customWidth="1" style="7" min="8" max="8"/>
    <col width="14.1796875" customWidth="1" style="7" min="9" max="9"/>
    <col width="10.1796875" customWidth="1" style="7" min="10" max="10"/>
    <col width="9.81640625" customWidth="1" style="7" min="11" max="11"/>
    <col width="18.54296875" customWidth="1" style="7" min="12" max="12"/>
    <col width="33.7265625" customWidth="1" style="7" min="13" max="13"/>
    <col width="19.453125" customWidth="1" style="7" min="14" max="14"/>
    <col width="18.90625" customWidth="1" style="7" min="15" max="15"/>
    <col width="18.1796875" customWidth="1" style="7" min="16" max="16"/>
    <col width="19.08984375" customWidth="1" style="7" min="17" max="17"/>
  </cols>
  <sheetData>
    <row r="1">
      <c r="A1" s="42" t="inlineStr">
        <is>
          <t>ID</t>
        </is>
      </c>
      <c r="B1" s="42" t="inlineStr">
        <is>
          <t>Menace</t>
        </is>
      </c>
      <c r="C1" s="42" t="inlineStr">
        <is>
          <t>Type</t>
        </is>
      </c>
      <c r="D1" s="42" t="inlineStr">
        <is>
          <t>Acteur</t>
        </is>
      </c>
      <c r="E1" s="42" t="inlineStr">
        <is>
          <t>Vecteur</t>
        </is>
      </c>
      <c r="F1" s="42" t="inlineStr">
        <is>
          <t>Scénario Opérationnel</t>
        </is>
      </c>
      <c r="G1" s="42" t="inlineStr">
        <is>
          <t>Actifs Impactés</t>
        </is>
      </c>
      <c r="H1" s="42" t="inlineStr">
        <is>
          <t>Probabilité (1-4)</t>
        </is>
      </c>
      <c r="I1" s="42" t="inlineStr">
        <is>
          <t>Sévérité (1-4)</t>
        </is>
      </c>
      <c r="J1" s="42" t="inlineStr">
        <is>
          <t>Impact €</t>
        </is>
      </c>
      <c r="K1" s="42" t="inlineStr">
        <is>
          <t>Criticité</t>
        </is>
      </c>
      <c r="L1" s="42" t="inlineStr">
        <is>
          <t>Contrôles Existants</t>
        </is>
      </c>
      <c r="M1" s="43" t="inlineStr">
        <is>
          <t>Actions</t>
        </is>
      </c>
      <c r="N1" s="44" t="inlineStr">
        <is>
          <t>Prob. Résiduelle</t>
        </is>
      </c>
      <c r="O1" s="44" t="inlineStr">
        <is>
          <t>Impact Résiduel</t>
        </is>
      </c>
      <c r="P1" s="44" t="inlineStr">
        <is>
          <t>Score Résiduel</t>
        </is>
      </c>
      <c r="Q1" s="45" t="inlineStr">
        <is>
          <t>Niveau Résiduel</t>
        </is>
      </c>
    </row>
    <row r="2" ht="29" customHeight="1" s="7">
      <c r="A2" s="46" t="inlineStr">
        <is>
          <t>T001</t>
        </is>
      </c>
      <c r="B2" s="47" t="inlineStr">
        <is>
          <t>Injection SQL</t>
        </is>
      </c>
      <c r="C2" s="47" t="inlineStr">
        <is>
          <t>Attaque directe</t>
        </is>
      </c>
      <c r="D2" s="47" t="inlineStr">
        <is>
          <t>Hacker externe</t>
        </is>
      </c>
      <c r="E2" s="47" t="inlineStr">
        <is>
          <t>Internet/API</t>
        </is>
      </c>
      <c r="F2" s="47" t="inlineStr">
        <is>
          <t>Vol données clients BD SQL</t>
        </is>
      </c>
      <c r="G2" s="47" t="inlineStr">
        <is>
          <t>BD Clients, données PII</t>
        </is>
      </c>
      <c r="H2" s="46" t="n">
        <v>3</v>
      </c>
      <c r="I2" s="46" t="n">
        <v>4</v>
      </c>
      <c r="J2" s="47" t="n">
        <v>20000000</v>
      </c>
      <c r="K2" s="48">
        <f>H2*I2</f>
        <v/>
      </c>
      <c r="L2" s="47" t="inlineStr">
        <is>
          <t>WAF, requêtes paramétrées</t>
        </is>
      </c>
      <c r="M2" s="49" t="inlineStr">
        <is>
          <t>Audit SQLi annuel, test pénétration</t>
        </is>
      </c>
      <c r="N2" s="50" t="n">
        <v>1</v>
      </c>
      <c r="O2" s="50" t="n">
        <v>3</v>
      </c>
      <c r="P2" s="50" t="n">
        <v>3</v>
      </c>
      <c r="Q2" s="51" t="inlineStr">
        <is>
          <t>MOYEN</t>
        </is>
      </c>
    </row>
    <row r="3" ht="29" customHeight="1" s="7">
      <c r="A3" s="52" t="inlineStr">
        <is>
          <t>T002</t>
        </is>
      </c>
      <c r="B3" s="53" t="inlineStr">
        <is>
          <t>Rançongiciel</t>
        </is>
      </c>
      <c r="C3" s="53" t="inlineStr">
        <is>
          <t>Malware</t>
        </is>
      </c>
      <c r="D3" s="53" t="inlineStr">
        <is>
          <t>Groupe cybercriminel</t>
        </is>
      </c>
      <c r="E3" s="53" t="inlineStr">
        <is>
          <t>Email phishing</t>
        </is>
      </c>
      <c r="F3" s="53" t="inlineStr">
        <is>
          <t>Chiffrage BD ERP, arrêt 1 semaine</t>
        </is>
      </c>
      <c r="G3" s="53" t="inlineStr">
        <is>
          <t>BD ERP, serveurs applicatifs</t>
        </is>
      </c>
      <c r="H3" s="52" t="n">
        <v>2</v>
      </c>
      <c r="I3" s="52" t="n">
        <v>4</v>
      </c>
      <c r="J3" s="53" t="n">
        <v>500000</v>
      </c>
      <c r="K3" s="54">
        <f>H3*I3</f>
        <v/>
      </c>
      <c r="L3" s="53" t="inlineStr">
        <is>
          <t>Backup immédiat, isolation réseau</t>
        </is>
      </c>
      <c r="M3" s="55" t="inlineStr">
        <is>
          <t>Dissémination backup, RTO 4h</t>
        </is>
      </c>
      <c r="N3" s="50" t="n">
        <v>1</v>
      </c>
      <c r="O3" s="50" t="n">
        <v>3</v>
      </c>
      <c r="P3" s="50" t="n">
        <v>3</v>
      </c>
      <c r="Q3" s="51" t="inlineStr">
        <is>
          <t>MOYEN</t>
        </is>
      </c>
    </row>
    <row r="4" ht="29" customHeight="1" s="7">
      <c r="A4" s="46" t="inlineStr">
        <is>
          <t>T003</t>
        </is>
      </c>
      <c r="B4" s="47" t="inlineStr">
        <is>
          <t>Vol credentials</t>
        </is>
      </c>
      <c r="C4" s="47" t="inlineStr">
        <is>
          <t>Social Engineering</t>
        </is>
      </c>
      <c r="D4" s="47" t="inlineStr">
        <is>
          <t>Insider/ex-employé</t>
        </is>
      </c>
      <c r="E4" s="47" t="inlineStr">
        <is>
          <t>Accès réseau, email piégé</t>
        </is>
      </c>
      <c r="F4" s="47" t="inlineStr">
        <is>
          <t>Accès admin conservé après départ</t>
        </is>
      </c>
      <c r="G4" s="47" t="inlineStr">
        <is>
          <t>Tous systèmes</t>
        </is>
      </c>
      <c r="H4" s="46" t="n">
        <v>2</v>
      </c>
      <c r="I4" s="46" t="n">
        <v>3</v>
      </c>
      <c r="J4" s="47" t="n">
        <v>250000</v>
      </c>
      <c r="K4" s="56">
        <f>H4*I4</f>
        <v/>
      </c>
      <c r="L4" s="47" t="inlineStr">
        <is>
          <t>Révocation immédiate</t>
        </is>
      </c>
      <c r="M4" s="49" t="inlineStr">
        <is>
          <t>Audit accès ex-employés J6</t>
        </is>
      </c>
      <c r="N4" s="50" t="n">
        <v>1</v>
      </c>
      <c r="O4" s="50" t="n">
        <v>2</v>
      </c>
      <c r="P4" s="50" t="n">
        <v>2</v>
      </c>
      <c r="Q4" s="57" t="inlineStr">
        <is>
          <t>MINEUR</t>
        </is>
      </c>
    </row>
    <row r="5">
      <c r="A5" s="52" t="inlineStr">
        <is>
          <t>T004</t>
        </is>
      </c>
      <c r="B5" s="53" t="inlineStr">
        <is>
          <t>DDoS</t>
        </is>
      </c>
      <c r="C5" s="53" t="inlineStr">
        <is>
          <t>Attaque réseau</t>
        </is>
      </c>
      <c r="D5" s="53" t="inlineStr">
        <is>
          <t>Hacker externe</t>
        </is>
      </c>
      <c r="E5" s="53" t="inlineStr">
        <is>
          <t>Attaque volumétrique</t>
        </is>
      </c>
      <c r="F5" s="53" t="inlineStr">
        <is>
          <t>Arrêt site/API clients 4h</t>
        </is>
      </c>
      <c r="G5" s="53" t="inlineStr">
        <is>
          <t>Équipements réseau, site web</t>
        </is>
      </c>
      <c r="H5" s="52" t="n">
        <v>2</v>
      </c>
      <c r="I5" s="52" t="n">
        <v>2</v>
      </c>
      <c r="J5" s="53" t="n">
        <v>50000</v>
      </c>
      <c r="K5" s="56">
        <f>H5*I5</f>
        <v/>
      </c>
      <c r="L5" s="53" t="inlineStr">
        <is>
          <t>CDN, rate limiting</t>
        </is>
      </c>
      <c r="M5" s="55" t="inlineStr">
        <is>
          <t>Contrat mitigation DDoS</t>
        </is>
      </c>
      <c r="N5" s="50" t="n">
        <v>1</v>
      </c>
      <c r="O5" s="50" t="n">
        <v>2</v>
      </c>
      <c r="P5" s="50" t="n">
        <v>2</v>
      </c>
      <c r="Q5" s="57" t="inlineStr">
        <is>
          <t>MINEUR</t>
        </is>
      </c>
    </row>
    <row r="6">
      <c r="A6" s="46" t="inlineStr">
        <is>
          <t>T005</t>
        </is>
      </c>
      <c r="B6" s="47" t="inlineStr">
        <is>
          <t>Sabotage données</t>
        </is>
      </c>
      <c r="C6" s="47" t="inlineStr">
        <is>
          <t>Malveillance</t>
        </is>
      </c>
      <c r="D6" s="47" t="inlineStr">
        <is>
          <t>Concurrent/Insider</t>
        </is>
      </c>
      <c r="E6" s="47" t="inlineStr">
        <is>
          <t>Accès privilégié</t>
        </is>
      </c>
      <c r="F6" s="47" t="inlineStr">
        <is>
          <t>Suppression/modification données métier</t>
        </is>
      </c>
      <c r="G6" s="47" t="inlineStr">
        <is>
          <t>BD Sage 100, données clients</t>
        </is>
      </c>
      <c r="H6" s="46" t="n">
        <v>1</v>
      </c>
      <c r="I6" s="46" t="n">
        <v>3</v>
      </c>
      <c r="J6" s="47" t="n">
        <v>150000</v>
      </c>
      <c r="K6" s="56">
        <f>H6*I6</f>
        <v/>
      </c>
      <c r="L6" s="47" t="inlineStr">
        <is>
          <t>Audit trail, snapshots</t>
        </is>
      </c>
      <c r="M6" s="49" t="inlineStr">
        <is>
          <t>Restauration DR &lt; 2h</t>
        </is>
      </c>
      <c r="N6" s="50" t="n">
        <v>1</v>
      </c>
      <c r="O6" s="50" t="n">
        <v>2</v>
      </c>
      <c r="P6" s="50" t="n">
        <v>2</v>
      </c>
      <c r="Q6" s="57" t="inlineStr">
        <is>
          <t>MINEUR</t>
        </is>
      </c>
    </row>
    <row r="7">
      <c r="A7" s="52" t="inlineStr">
        <is>
          <t>T006</t>
        </is>
      </c>
      <c r="B7" s="53" t="inlineStr">
        <is>
          <t>Vol de secrets</t>
        </is>
      </c>
      <c r="C7" s="53" t="inlineStr">
        <is>
          <t>Espionnage</t>
        </is>
      </c>
      <c r="D7" s="53" t="inlineStr">
        <is>
          <t>Concurrent/Insider</t>
        </is>
      </c>
      <c r="E7" s="53" t="inlineStr">
        <is>
          <t>Exfiltration code</t>
        </is>
      </c>
      <c r="F7" s="53" t="inlineStr">
        <is>
          <t>Copie dépôt Git privé → révente</t>
        </is>
      </c>
      <c r="G7" s="53" t="inlineStr">
        <is>
          <t>Code source, architectures</t>
        </is>
      </c>
      <c r="H7" s="52" t="n">
        <v>1</v>
      </c>
      <c r="I7" s="52" t="n">
        <v>3</v>
      </c>
      <c r="J7" s="53" t="n">
        <v>100000</v>
      </c>
      <c r="K7" s="56">
        <f>H7*I7</f>
        <v/>
      </c>
      <c r="L7" s="53" t="inlineStr">
        <is>
          <t>GitFlow, audit Git</t>
        </is>
      </c>
      <c r="M7" s="55" t="inlineStr">
        <is>
          <t>Revue accès code bimensuelle</t>
        </is>
      </c>
      <c r="N7" s="50" t="n">
        <v>1</v>
      </c>
      <c r="O7" s="50" t="n">
        <v>2</v>
      </c>
      <c r="P7" s="50" t="n">
        <v>2</v>
      </c>
      <c r="Q7" s="57" t="inlineStr">
        <is>
          <t>MINEUR</t>
        </is>
      </c>
    </row>
    <row r="8" ht="43.5" customHeight="1" s="7">
      <c r="A8" s="46" t="inlineStr">
        <is>
          <t>T007</t>
        </is>
      </c>
      <c r="B8" s="47" t="inlineStr">
        <is>
          <t>Arrêt infra</t>
        </is>
      </c>
      <c r="C8" s="47" t="inlineStr">
        <is>
          <t>Défaillance</t>
        </is>
      </c>
      <c r="D8" s="47" t="inlineStr">
        <is>
          <t>Panne électrique/hardware</t>
        </is>
      </c>
      <c r="E8" s="47" t="inlineStr">
        <is>
          <t>Défaillance composant</t>
        </is>
      </c>
      <c r="F8" s="47" t="inlineStr">
        <is>
          <t>Indisponibilité 6h tous systèmes</t>
        </is>
      </c>
      <c r="G8" s="47" t="inlineStr">
        <is>
          <t>Tous serveurs, réseau, électricité</t>
        </is>
      </c>
      <c r="H8" s="46" t="n">
        <v>2</v>
      </c>
      <c r="I8" s="46" t="n">
        <v>3</v>
      </c>
      <c r="J8" s="47" t="n">
        <v>300000</v>
      </c>
      <c r="K8" s="56">
        <f>H8*I8</f>
        <v/>
      </c>
      <c r="L8" s="47" t="inlineStr">
        <is>
          <t>Redondance serveurs, UPS</t>
        </is>
      </c>
      <c r="M8" s="49" t="inlineStr">
        <is>
          <t>Plan continuité métier Q3</t>
        </is>
      </c>
      <c r="N8" s="50" t="n">
        <v>1</v>
      </c>
      <c r="O8" s="50" t="n">
        <v>2</v>
      </c>
      <c r="P8" s="50" t="n">
        <v>2</v>
      </c>
      <c r="Q8" s="57" t="inlineStr">
        <is>
          <t>MINEUR</t>
        </is>
      </c>
    </row>
    <row r="9">
      <c r="A9" s="52" t="inlineStr">
        <is>
          <t>T008</t>
        </is>
      </c>
      <c r="B9" s="53" t="inlineStr">
        <is>
          <t>Malware employé</t>
        </is>
      </c>
      <c r="C9" s="53" t="inlineStr">
        <is>
          <t>Malveillance</t>
        </is>
      </c>
      <c r="D9" s="53" t="inlineStr">
        <is>
          <t>Hacker via email</t>
        </is>
      </c>
      <c r="E9" s="53" t="inlineStr">
        <is>
          <t>Pièce jointe malveillante</t>
        </is>
      </c>
      <c r="F9" s="53" t="inlineStr">
        <is>
          <t>Infection poste, propagation réseau</t>
        </is>
      </c>
      <c r="G9" s="53" t="inlineStr">
        <is>
          <t>Postes de travail, partages réseau</t>
        </is>
      </c>
      <c r="H9" s="52" t="n">
        <v>3</v>
      </c>
      <c r="I9" s="52" t="n">
        <v>2</v>
      </c>
      <c r="J9" s="53" t="n">
        <v>50000</v>
      </c>
      <c r="K9" s="56">
        <f>H9*I9</f>
        <v/>
      </c>
      <c r="L9" s="53" t="inlineStr">
        <is>
          <t>Antivirus, EDR limité</t>
        </is>
      </c>
      <c r="M9" s="55" t="inlineStr">
        <is>
          <t>Déploiement EDR complet</t>
        </is>
      </c>
      <c r="N9" s="50" t="n">
        <v>1</v>
      </c>
      <c r="O9" s="50" t="n">
        <v>2</v>
      </c>
      <c r="P9" s="50" t="n">
        <v>2</v>
      </c>
      <c r="Q9" s="57" t="inlineStr">
        <is>
          <t>MINEUR</t>
        </is>
      </c>
    </row>
    <row r="10" ht="29" customHeight="1" s="7">
      <c r="A10" s="46" t="inlineStr">
        <is>
          <t>T009</t>
        </is>
      </c>
      <c r="B10" s="47" t="inlineStr">
        <is>
          <t>Accès physique non autorisé</t>
        </is>
      </c>
      <c r="C10" s="47" t="inlineStr">
        <is>
          <t>Intrusion</t>
        </is>
      </c>
      <c r="D10" s="47" t="inlineStr">
        <is>
          <t>Intrus/Personne malveillante</t>
        </is>
      </c>
      <c r="E10" s="47" t="inlineStr">
        <is>
          <t>Contournement sécurité</t>
        </is>
      </c>
      <c r="F10" s="47" t="inlineStr">
        <is>
          <t>Installation keylogger, vol équipement</t>
        </is>
      </c>
      <c r="G10" s="47" t="inlineStr">
        <is>
          <t>Serveurs physiques, éléments réseau</t>
        </is>
      </c>
      <c r="H10" s="46" t="n">
        <v>1</v>
      </c>
      <c r="I10" s="46" t="n">
        <v>3</v>
      </c>
      <c r="J10" s="47" t="n">
        <v>75000</v>
      </c>
      <c r="K10" s="56">
        <f>H10*I10</f>
        <v/>
      </c>
      <c r="L10" s="47" t="inlineStr">
        <is>
          <t>Serrure badge, surveillance</t>
        </is>
      </c>
      <c r="M10" s="49" t="inlineStr">
        <is>
          <t>Audit contrôle accès J8</t>
        </is>
      </c>
      <c r="N10" s="50" t="n">
        <v>1</v>
      </c>
      <c r="O10" s="50" t="n">
        <v>2</v>
      </c>
      <c r="P10" s="50" t="n">
        <v>2</v>
      </c>
      <c r="Q10" s="57" t="inlineStr">
        <is>
          <t>MINEUR</t>
        </is>
      </c>
    </row>
    <row r="11" ht="29" customHeight="1" s="7">
      <c r="A11" s="52" t="inlineStr">
        <is>
          <t>T010</t>
        </is>
      </c>
      <c r="B11" s="53" t="inlineStr">
        <is>
          <t>Fuite USB/données</t>
        </is>
      </c>
      <c r="C11" s="53" t="inlineStr">
        <is>
          <t>Départ employé</t>
        </is>
      </c>
      <c r="D11" s="53" t="inlineStr">
        <is>
          <t>Employé mécontent</t>
        </is>
      </c>
      <c r="E11" s="53" t="inlineStr">
        <is>
          <t>Copie données sur support</t>
        </is>
      </c>
      <c r="F11" s="53" t="inlineStr">
        <is>
          <t>Données clients/financières vendues</t>
        </is>
      </c>
      <c r="G11" s="53" t="inlineStr">
        <is>
          <t>BD clients, données financières</t>
        </is>
      </c>
      <c r="H11" s="52" t="n">
        <v>2</v>
      </c>
      <c r="I11" s="52" t="n">
        <v>3</v>
      </c>
      <c r="J11" s="53" t="n">
        <v>200000</v>
      </c>
      <c r="K11" s="56">
        <f>H11*I11</f>
        <v/>
      </c>
      <c r="L11" s="53" t="inlineStr">
        <is>
          <t>Désactivation USB, chiffrage</t>
        </is>
      </c>
      <c r="M11" s="55" t="inlineStr">
        <is>
          <t>Nettoyage équipements partants</t>
        </is>
      </c>
      <c r="N11" s="50" t="n">
        <v>1</v>
      </c>
      <c r="O11" s="50" t="n">
        <v>2</v>
      </c>
      <c r="P11" s="50" t="n">
        <v>2</v>
      </c>
      <c r="Q11" s="57" t="inlineStr">
        <is>
          <t>MINEUR</t>
        </is>
      </c>
    </row>
    <row r="12" ht="29" customHeight="1" s="7">
      <c r="A12" s="46" t="inlineStr">
        <is>
          <t>T011</t>
        </is>
      </c>
      <c r="B12" s="47" t="inlineStr">
        <is>
          <t>Brèche RGPD</t>
        </is>
      </c>
      <c r="C12" s="47" t="inlineStr">
        <is>
          <t>Non-conformité</t>
        </is>
      </c>
      <c r="D12" s="47" t="inlineStr">
        <is>
          <t>Audit/incident</t>
        </is>
      </c>
      <c r="E12" s="47" t="inlineStr">
        <is>
          <t>Manque consentement/droit oubli</t>
        </is>
      </c>
      <c r="F12" s="47" t="inlineStr">
        <is>
          <t>Amende CNIL jusqu'à 4% CA</t>
        </is>
      </c>
      <c r="G12" s="47" t="inlineStr">
        <is>
          <t>Données clients PII</t>
        </is>
      </c>
      <c r="H12" s="46" t="n">
        <v>2</v>
      </c>
      <c r="I12" s="46" t="n">
        <v>4</v>
      </c>
      <c r="J12" s="47" t="n">
        <v>400000</v>
      </c>
      <c r="K12" s="56">
        <f>H12*I12</f>
        <v/>
      </c>
      <c r="L12" s="47" t="inlineStr">
        <is>
          <t>Politique RGPD, registre</t>
        </is>
      </c>
      <c r="M12" s="49" t="inlineStr">
        <is>
          <t>Audit RGPD complet J9</t>
        </is>
      </c>
      <c r="N12" s="50" t="n">
        <v>1</v>
      </c>
      <c r="O12" s="50" t="n">
        <v>3</v>
      </c>
      <c r="P12" s="50" t="n">
        <v>3</v>
      </c>
      <c r="Q12" s="51" t="inlineStr">
        <is>
          <t>MOYEN</t>
        </is>
      </c>
    </row>
    <row r="13">
      <c r="A13" s="52" t="inlineStr">
        <is>
          <t>T012</t>
        </is>
      </c>
      <c r="B13" s="53" t="inlineStr">
        <is>
          <t>Man-in-the-Middle (MITM)</t>
        </is>
      </c>
      <c r="C13" s="53" t="inlineStr">
        <is>
          <t>Attaque réseau</t>
        </is>
      </c>
      <c r="D13" s="53" t="inlineStr">
        <is>
          <t>Hacker réseau local</t>
        </is>
      </c>
      <c r="E13" s="53" t="inlineStr">
        <is>
          <t>Sniffing trafic non chiffré</t>
        </is>
      </c>
      <c r="F13" s="53" t="inlineStr">
        <is>
          <t>Vol identifiants ERP en clair</t>
        </is>
      </c>
      <c r="G13" s="53" t="inlineStr">
        <is>
          <t>Communications réseau</t>
        </is>
      </c>
      <c r="H13" s="52" t="n">
        <v>2</v>
      </c>
      <c r="I13" s="52" t="n">
        <v>2</v>
      </c>
      <c r="J13" s="53" t="n">
        <v>75000</v>
      </c>
      <c r="K13" s="56">
        <f>H13*I13</f>
        <v/>
      </c>
      <c r="L13" s="53" t="inlineStr">
        <is>
          <t>TLS/SSL en place</t>
        </is>
      </c>
      <c r="M13" s="55" t="inlineStr">
        <is>
          <t>Audit protocoles réseau</t>
        </is>
      </c>
      <c r="N13" s="50" t="n">
        <v>1</v>
      </c>
      <c r="O13" s="50" t="n">
        <v>1</v>
      </c>
      <c r="P13" s="50" t="n">
        <v>1</v>
      </c>
      <c r="Q13" s="57" t="inlineStr">
        <is>
          <t>MINEUR</t>
        </is>
      </c>
    </row>
    <row r="14" ht="29" customHeight="1" s="7">
      <c r="A14" s="46" t="inlineStr">
        <is>
          <t>T013</t>
        </is>
      </c>
      <c r="B14" s="47" t="inlineStr">
        <is>
          <t>Escalade de privilèges</t>
        </is>
      </c>
      <c r="C14" s="47" t="inlineStr">
        <is>
          <t>Exploitation</t>
        </is>
      </c>
      <c r="D14" s="47" t="inlineStr">
        <is>
          <t>Insider/Hacker</t>
        </is>
      </c>
      <c r="E14" s="47" t="inlineStr">
        <is>
          <t>Exploitation CVE / autorisation excédée</t>
        </is>
      </c>
      <c r="F14" s="47" t="inlineStr">
        <is>
          <t>Accès admin illégal</t>
        </is>
      </c>
      <c r="G14" s="47" t="inlineStr">
        <is>
          <t>Tous systèmes</t>
        </is>
      </c>
      <c r="H14" s="46" t="n">
        <v>2</v>
      </c>
      <c r="I14" s="46" t="n">
        <v>3</v>
      </c>
      <c r="J14" s="47" t="n">
        <v>150000</v>
      </c>
      <c r="K14" s="56">
        <f>H14*I14</f>
        <v/>
      </c>
      <c r="L14" s="47" t="inlineStr">
        <is>
          <t>Audit privilèges, patches</t>
        </is>
      </c>
      <c r="M14" s="49" t="inlineStr">
        <is>
          <t>Patch management plan J7</t>
        </is>
      </c>
      <c r="N14" s="50" t="n">
        <v>1</v>
      </c>
      <c r="O14" s="50" t="n">
        <v>2</v>
      </c>
      <c r="P14" s="50" t="n">
        <v>2</v>
      </c>
      <c r="Q14" s="57" t="inlineStr">
        <is>
          <t>MINEUR</t>
        </is>
      </c>
    </row>
    <row r="15" ht="29" customHeight="1" s="7">
      <c r="A15" s="52" t="inlineStr">
        <is>
          <t>T014</t>
        </is>
      </c>
      <c r="B15" s="53" t="inlineStr">
        <is>
          <t>APT (Advanced Persistent Threat)</t>
        </is>
      </c>
      <c r="C15" s="53" t="inlineStr">
        <is>
          <t>Espionnage</t>
        </is>
      </c>
      <c r="D15" s="53" t="inlineStr">
        <is>
          <t>État-nation/Hacker avancé</t>
        </is>
      </c>
      <c r="E15" s="53" t="inlineStr">
        <is>
          <t>Chaîne d'attaque sophistiquée</t>
        </is>
      </c>
      <c r="F15" s="53" t="inlineStr">
        <is>
          <t>Compromission long-terme infrastructure</t>
        </is>
      </c>
      <c r="G15" s="53" t="inlineStr">
        <is>
          <t>Tous systèmes critiques</t>
        </is>
      </c>
      <c r="H15" s="52" t="n">
        <v>1</v>
      </c>
      <c r="I15" s="52" t="n">
        <v>4</v>
      </c>
      <c r="J15" s="53" t="n">
        <v>500000</v>
      </c>
      <c r="K15" s="56">
        <f>H15*I15</f>
        <v/>
      </c>
      <c r="L15" s="53" t="inlineStr">
        <is>
          <t>SOC minimal</t>
        </is>
      </c>
      <c r="M15" s="55" t="inlineStr">
        <is>
          <t>Contrat SOC/MSSP T3</t>
        </is>
      </c>
      <c r="N15" s="50" t="n">
        <v>1</v>
      </c>
      <c r="O15" s="50" t="n">
        <v>3</v>
      </c>
      <c r="P15" s="50" t="n">
        <v>3</v>
      </c>
      <c r="Q15" s="51" t="inlineStr">
        <is>
          <t>MOYEN</t>
        </is>
      </c>
    </row>
    <row r="16" ht="29" customHeight="1" s="7">
      <c r="A16" s="46" t="inlineStr">
        <is>
          <t>T015</t>
        </is>
      </c>
      <c r="B16" s="47" t="inlineStr">
        <is>
          <t>Perte de continuité fournisseurs</t>
        </is>
      </c>
      <c r="C16" s="47" t="inlineStr">
        <is>
          <t>Supply chain</t>
        </is>
      </c>
      <c r="D16" s="47" t="inlineStr">
        <is>
          <t>Fournisseur/partenaire défaillant</t>
        </is>
      </c>
      <c r="E16" s="47" t="inlineStr">
        <is>
          <t>Arrêt prestation sous-traitée</t>
        </is>
      </c>
      <c r="F16" s="47" t="inlineStr">
        <is>
          <t>Perte capacité livraison clients</t>
        </is>
      </c>
      <c r="G16" s="47" t="inlineStr">
        <is>
          <t>Services ERP hébergés, VPN</t>
        </is>
      </c>
      <c r="H16" s="46" t="n">
        <v>1</v>
      </c>
      <c r="I16" s="46" t="n">
        <v>2</v>
      </c>
      <c r="J16" s="47" t="n">
        <v>100000</v>
      </c>
      <c r="K16" s="56">
        <f>H16*I16</f>
        <v/>
      </c>
      <c r="L16" s="47" t="inlineStr">
        <is>
          <t>Contrats SLA, backup fournisseur</t>
        </is>
      </c>
      <c r="M16" s="49" t="inlineStr">
        <is>
          <t>Contrats SLA formalisés Q3</t>
        </is>
      </c>
      <c r="N16" s="50" t="n">
        <v>1</v>
      </c>
      <c r="O16" s="50" t="n">
        <v>1</v>
      </c>
      <c r="P16" s="50" t="n">
        <v>1</v>
      </c>
      <c r="Q16" s="57" t="inlineStr">
        <is>
          <t>MINEUR</t>
        </is>
      </c>
    </row>
    <row r="17" ht="29" customHeight="1" s="7">
      <c r="A17" s="52" t="inlineStr">
        <is>
          <t>T016</t>
        </is>
      </c>
      <c r="B17" s="53" t="inlineStr">
        <is>
          <t>Injection de code/backdoor</t>
        </is>
      </c>
      <c r="C17" s="53" t="inlineStr">
        <is>
          <t>Malveillance</t>
        </is>
      </c>
      <c r="D17" s="53" t="inlineStr">
        <is>
          <t>Développeur malveillant</t>
        </is>
      </c>
      <c r="E17" s="53" t="inlineStr">
        <is>
          <t>Code malveillant injecté en déploiement</t>
        </is>
      </c>
      <c r="F17" s="53" t="inlineStr">
        <is>
          <t>Porte arrière dans application production</t>
        </is>
      </c>
      <c r="G17" s="53" t="inlineStr">
        <is>
          <t>Applications métiers, ERP</t>
        </is>
      </c>
      <c r="H17" s="52" t="n">
        <v>1</v>
      </c>
      <c r="I17" s="52" t="n">
        <v>3</v>
      </c>
      <c r="J17" s="53" t="n">
        <v>200000</v>
      </c>
      <c r="K17" s="56">
        <f>H17*I17</f>
        <v/>
      </c>
      <c r="L17" s="53" t="inlineStr">
        <is>
          <t>Code review, tests sécurité</t>
        </is>
      </c>
      <c r="M17" s="55" t="inlineStr">
        <is>
          <t>Pipeline CI/CD sécurisé</t>
        </is>
      </c>
      <c r="N17" s="50" t="n">
        <v>1</v>
      </c>
      <c r="O17" s="50" t="n">
        <v>2</v>
      </c>
      <c r="P17" s="50" t="n">
        <v>2</v>
      </c>
      <c r="Q17" s="57" t="inlineStr">
        <is>
          <t>MINEUR</t>
        </is>
      </c>
    </row>
    <row r="18" ht="29" customHeight="1" s="7">
      <c r="A18" s="46" t="inlineStr">
        <is>
          <t>T017</t>
        </is>
      </c>
      <c r="B18" s="47" t="inlineStr">
        <is>
          <t>Défaut configuration cloud</t>
        </is>
      </c>
      <c r="C18" s="47" t="inlineStr">
        <is>
          <t>Configuration</t>
        </is>
      </c>
      <c r="D18" s="47" t="inlineStr">
        <is>
          <t>Erreur humaine</t>
        </is>
      </c>
      <c r="E18" s="47" t="inlineStr">
        <is>
          <t>Bucket S3 public par erreur, secrets en dur</t>
        </is>
      </c>
      <c r="F18" s="47" t="inlineStr">
        <is>
          <t>Exposition données dans cloud</t>
        </is>
      </c>
      <c r="G18" s="47" t="inlineStr">
        <is>
          <t>Données hébergées cloud, configs</t>
        </is>
      </c>
      <c r="H18" s="46" t="n">
        <v>2</v>
      </c>
      <c r="I18" s="46" t="n">
        <v>3</v>
      </c>
      <c r="J18" s="47" t="n">
        <v>150000</v>
      </c>
      <c r="K18" s="56">
        <f>H18*I18</f>
        <v/>
      </c>
      <c r="L18" s="47" t="inlineStr">
        <is>
          <t>IaC, automatisation</t>
        </is>
      </c>
      <c r="M18" s="49" t="inlineStr">
        <is>
          <t>Infrastructure-as-Code Q3</t>
        </is>
      </c>
      <c r="N18" s="50" t="n">
        <v>1</v>
      </c>
      <c r="O18" s="50" t="n">
        <v>2</v>
      </c>
      <c r="P18" s="50" t="n">
        <v>2</v>
      </c>
      <c r="Q18" s="57" t="inlineStr">
        <is>
          <t>MINEUR</t>
        </is>
      </c>
    </row>
    <row r="19" ht="29" customHeight="1" s="7">
      <c r="A19" s="52" t="inlineStr">
        <is>
          <t>T018</t>
        </is>
      </c>
      <c r="B19" s="53" t="inlineStr">
        <is>
          <t>Usurpation identité (phishing)</t>
        </is>
      </c>
      <c r="C19" s="53" t="inlineStr">
        <is>
          <t>Social Engineering</t>
        </is>
      </c>
      <c r="D19" s="53" t="inlineStr">
        <is>
          <t>Attaquant email</t>
        </is>
      </c>
      <c r="E19" s="53" t="inlineStr">
        <is>
          <t>Email usurpant CEO/IT</t>
        </is>
      </c>
      <c r="F19" s="53" t="inlineStr">
        <is>
          <t>Transfert de fonds, accès réseau</t>
        </is>
      </c>
      <c r="G19" s="53" t="inlineStr">
        <is>
          <t>Comptes email, systèmes de paiement</t>
        </is>
      </c>
      <c r="H19" s="52" t="n">
        <v>3</v>
      </c>
      <c r="I19" s="52" t="n">
        <v>2</v>
      </c>
      <c r="J19" s="53" t="n">
        <v>50000</v>
      </c>
      <c r="K19" s="56">
        <f>H19*I19</f>
        <v/>
      </c>
      <c r="L19" s="53" t="inlineStr">
        <is>
          <t>Sensibilisation, SPF/DKIM</t>
        </is>
      </c>
      <c r="M19" s="55" t="inlineStr">
        <is>
          <t>Formation phishing mensuelle</t>
        </is>
      </c>
      <c r="N19" s="50" t="n">
        <v>1</v>
      </c>
      <c r="O19" s="50" t="n">
        <v>1</v>
      </c>
      <c r="P19" s="50" t="n">
        <v>1</v>
      </c>
      <c r="Q19" s="57" t="inlineStr">
        <is>
          <t>MINEUR</t>
        </is>
      </c>
    </row>
    <row r="20" ht="29" customHeight="1" s="7">
      <c r="A20" s="46" t="inlineStr">
        <is>
          <t>T019</t>
        </is>
      </c>
      <c r="B20" s="47" t="inlineStr">
        <is>
          <t>Compromission chaîne logicielle</t>
        </is>
      </c>
      <c r="C20" s="47" t="inlineStr">
        <is>
          <t>Supply chain</t>
        </is>
      </c>
      <c r="D20" s="47" t="inlineStr">
        <is>
          <t>Attaquant inject dépendances</t>
        </is>
      </c>
      <c r="E20" s="47" t="inlineStr">
        <is>
          <t>Dépendance npm/pip malveillante</t>
        </is>
      </c>
      <c r="F20" s="47" t="inlineStr">
        <is>
          <t>Inclusion code malveillant en production</t>
        </is>
      </c>
      <c r="G20" s="47" t="inlineStr">
        <is>
          <t>Code source, applications déployées</t>
        </is>
      </c>
      <c r="H20" s="46" t="n">
        <v>1</v>
      </c>
      <c r="I20" s="46" t="n">
        <v>3</v>
      </c>
      <c r="J20" s="47" t="n">
        <v>300000</v>
      </c>
      <c r="K20" s="56">
        <f>H20*I20</f>
        <v/>
      </c>
      <c r="L20" s="47" t="inlineStr">
        <is>
          <t>Audit dépendances</t>
        </is>
      </c>
      <c r="M20" s="49" t="inlineStr">
        <is>
          <t>SBOM, scan dépendances</t>
        </is>
      </c>
      <c r="N20" s="50" t="n">
        <v>1</v>
      </c>
      <c r="O20" s="50" t="n">
        <v>2</v>
      </c>
      <c r="P20" s="50" t="n">
        <v>2</v>
      </c>
      <c r="Q20" s="57" t="inlineStr">
        <is>
          <t>MINEUR</t>
        </is>
      </c>
    </row>
    <row r="21" ht="29" customHeight="1" s="7">
      <c r="A21" s="58" t="inlineStr">
        <is>
          <t>T020</t>
        </is>
      </c>
      <c r="B21" s="59" t="inlineStr">
        <is>
          <t>Non-conformité légale/contractuelle</t>
        </is>
      </c>
      <c r="C21" s="59" t="inlineStr">
        <is>
          <t>Légal</t>
        </is>
      </c>
      <c r="D21" s="59" t="inlineStr">
        <is>
          <t>Audit/client</t>
        </is>
      </c>
      <c r="E21" s="59" t="inlineStr">
        <is>
          <t>Manque contrôles contrats clients</t>
        </is>
      </c>
      <c r="F21" s="59" t="inlineStr">
        <is>
          <t>Pénalité contractuelle, perte client</t>
        </is>
      </c>
      <c r="G21" s="59" t="inlineStr">
        <is>
          <t>Tous contrôles SMSI</t>
        </is>
      </c>
      <c r="H21" s="58" t="n">
        <v>1</v>
      </c>
      <c r="I21" s="58" t="n">
        <v>2</v>
      </c>
      <c r="J21" s="59" t="n">
        <v>100000</v>
      </c>
      <c r="K21" s="60">
        <f>H21*I21</f>
        <v/>
      </c>
      <c r="L21" s="59" t="inlineStr">
        <is>
          <t>Documentation SMSI</t>
        </is>
      </c>
      <c r="M21" s="61" t="inlineStr">
        <is>
          <t>Audit conformité contractuelle</t>
        </is>
      </c>
      <c r="N21" s="50" t="n">
        <v>1</v>
      </c>
      <c r="O21" s="50" t="n">
        <v>1</v>
      </c>
      <c r="P21" s="50" t="n">
        <v>1</v>
      </c>
      <c r="Q21" s="57" t="inlineStr">
        <is>
          <t>MINEUR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F13" sqref="F13"/>
    </sheetView>
  </sheetViews>
  <sheetFormatPr baseColWidth="10" defaultColWidth="8.7265625" defaultRowHeight="14.5"/>
  <cols>
    <col width="18" customWidth="1" style="7" min="1" max="5"/>
  </cols>
  <sheetData>
    <row r="1" ht="15.5" customHeight="1" s="7">
      <c r="A1" s="62" t="inlineStr">
        <is>
          <t>HEATMAP RISQUES - PROBABILITÉ * IMPACT</t>
        </is>
      </c>
    </row>
    <row r="2"/>
    <row r="3" ht="14.25" customHeight="1" s="7">
      <c r="A3" t="inlineStr">
        <is>
          <t>IMPACT</t>
        </is>
      </c>
      <c r="B3" t="inlineStr">
        <is>
          <t>Prob 1</t>
        </is>
      </c>
      <c r="C3" t="inlineStr">
        <is>
          <t>Prob 2</t>
        </is>
      </c>
      <c r="D3" t="inlineStr">
        <is>
          <t>Prob 3</t>
        </is>
      </c>
      <c r="E3" t="inlineStr">
        <is>
          <t>Prob 4</t>
        </is>
      </c>
    </row>
    <row r="4" ht="14.25" customHeight="1" s="7">
      <c r="A4" s="63" t="inlineStr">
        <is>
          <t>Impact 4</t>
        </is>
      </c>
      <c r="B4" s="64" t="inlineStr">
        <is>
          <t>CRITIQUE</t>
        </is>
      </c>
      <c r="C4" s="65" t="inlineStr">
        <is>
          <t>MAJEUR</t>
        </is>
      </c>
      <c r="D4" s="65" t="inlineStr">
        <is>
          <t>MAJEUR</t>
        </is>
      </c>
      <c r="E4" s="64" t="inlineStr">
        <is>
          <t>CRITIQUE</t>
        </is>
      </c>
    </row>
    <row r="5" ht="14.25" customHeight="1" s="7">
      <c r="A5" s="63" t="inlineStr">
        <is>
          <t>Impact 3</t>
        </is>
      </c>
      <c r="B5" s="66" t="inlineStr">
        <is>
          <t>MOYEN</t>
        </is>
      </c>
      <c r="C5" s="65" t="inlineStr">
        <is>
          <t>MAJEUR</t>
        </is>
      </c>
      <c r="D5" s="65" t="inlineStr">
        <is>
          <t>MAJEUR</t>
        </is>
      </c>
      <c r="E5" s="65" t="inlineStr">
        <is>
          <t>MAJEUR</t>
        </is>
      </c>
    </row>
    <row r="6" ht="14.25" customHeight="1" s="7">
      <c r="A6" s="63" t="inlineStr">
        <is>
          <t>Impact 2</t>
        </is>
      </c>
      <c r="B6" s="67" t="inlineStr">
        <is>
          <t>MINEUR</t>
        </is>
      </c>
      <c r="C6" s="66" t="inlineStr">
        <is>
          <t>MOYEN</t>
        </is>
      </c>
      <c r="D6" s="66" t="inlineStr">
        <is>
          <t>MOYEN</t>
        </is>
      </c>
      <c r="E6" s="65" t="inlineStr">
        <is>
          <t>MAJEUR</t>
        </is>
      </c>
    </row>
    <row r="7" ht="14.25" customHeight="1" s="7">
      <c r="A7" s="63" t="inlineStr">
        <is>
          <t>Impact 1</t>
        </is>
      </c>
      <c r="B7" s="67" t="inlineStr">
        <is>
          <t>MINEUR</t>
        </is>
      </c>
      <c r="C7" s="67" t="inlineStr">
        <is>
          <t>MINEUR</t>
        </is>
      </c>
      <c r="D7" s="66" t="inlineStr">
        <is>
          <t>MOYEN</t>
        </is>
      </c>
      <c r="E7" s="66" t="inlineStr">
        <is>
          <t>MOYEN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F18" sqref="F18"/>
    </sheetView>
  </sheetViews>
  <sheetFormatPr baseColWidth="10" defaultColWidth="8.7265625" defaultRowHeight="14.5"/>
  <cols>
    <col width="18" customWidth="1" style="7" min="1" max="4"/>
  </cols>
  <sheetData>
    <row r="1" ht="15.5" customHeight="1" s="7">
      <c r="A1" s="68" t="inlineStr">
        <is>
          <t>CARTOGRAPHIE DES RISQUES - SYNTHÈSE</t>
        </is>
      </c>
    </row>
    <row r="2"/>
    <row r="3" ht="14.25" customHeight="1" s="7">
      <c r="A3" s="69" t="inlineStr">
        <is>
          <t>DISTRIBUTION CRITICITÉS</t>
        </is>
      </c>
    </row>
    <row r="4"/>
    <row r="5" ht="14.25" customHeight="1" s="7">
      <c r="A5" s="70" t="inlineStr">
        <is>
          <t>Niveau</t>
        </is>
      </c>
      <c r="B5" s="70" t="inlineStr">
        <is>
          <t>Nombre</t>
        </is>
      </c>
      <c r="C5" s="70" t="inlineStr">
        <is>
          <t>% Total</t>
        </is>
      </c>
    </row>
    <row r="6" ht="14.25" customHeight="1" s="7">
      <c r="A6" s="71" t="inlineStr">
        <is>
          <t>CRITIQUE (12-16)</t>
        </is>
      </c>
      <c r="B6" s="71" t="n">
        <v>4</v>
      </c>
      <c r="C6" s="71" t="inlineStr">
        <is>
          <t>40%</t>
        </is>
      </c>
    </row>
    <row r="7" ht="14.25" customHeight="1" s="7">
      <c r="A7" s="71" t="inlineStr">
        <is>
          <t>MAJEUR (8-11)</t>
        </is>
      </c>
      <c r="B7" s="71" t="n">
        <v>4</v>
      </c>
      <c r="C7" s="71" t="inlineStr">
        <is>
          <t>40%</t>
        </is>
      </c>
    </row>
    <row r="8" ht="14.25" customHeight="1" s="7">
      <c r="A8" s="71" t="inlineStr">
        <is>
          <t>MOYEN (4-7)</t>
        </is>
      </c>
      <c r="B8" s="71" t="n">
        <v>2</v>
      </c>
      <c r="C8" s="71" t="inlineStr">
        <is>
          <t>20%</t>
        </is>
      </c>
    </row>
    <row r="9" ht="14.25" customHeight="1" s="7">
      <c r="A9" s="71" t="inlineStr">
        <is>
          <t>MINEUR (1-3)</t>
        </is>
      </c>
      <c r="B9" s="71" t="n">
        <v>0</v>
      </c>
      <c r="C9" s="71" t="inlineStr">
        <is>
          <t>0%</t>
        </is>
      </c>
    </row>
  </sheetData>
  <mergeCells count="2">
    <mergeCell ref="A1:D1"/>
    <mergeCell ref="A3:C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2026-06-18T13:34:50Z</dcterms:created>
  <dcterms:modified xmlns:dcterms="http://purl.org/dc/terms/" xmlns:xsi="http://www.w3.org/2001/XMLSchema-instance" xsi:type="dcterms:W3CDTF">2026-10-08T19:02:43Z</dcterms:modified>
  <cp:lastModifiedBy>PC</cp:lastModifiedBy>
</cp:coreProperties>
</file>