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0" autoFilterDateGrouping="1"/>
  </bookViews>
  <sheets>
    <sheet xmlns:r="http://schemas.openxmlformats.org/officeDocument/2006/relationships" name="Feuil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\%"/>
  </numFmts>
  <fonts count="13">
    <font>
      <name val="Calibri"/>
      <family val="2"/>
      <color theme="1"/>
      <sz val="11"/>
      <scheme val="minor"/>
    </font>
    <font>
      <name val="Arial"/>
      <family val="2"/>
      <i val="1"/>
      <color rgb="FF444444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Calibri"/>
      <family val="2"/>
      <sz val="11"/>
      <scheme val="minor"/>
    </font>
    <font>
      <name val="Arial"/>
      <family val="2"/>
      <b val="1"/>
      <color rgb="FF7F6000"/>
      <sz val="10"/>
    </font>
    <font>
      <name val="Arial"/>
      <family val="2"/>
      <b val="1"/>
      <color rgb="FF375623"/>
      <sz val="10"/>
    </font>
    <font>
      <name val="Arial"/>
      <family val="2"/>
      <b val="1"/>
      <color rgb="FFC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2E75B6"/>
      <sz val="10"/>
    </font>
  </fonts>
  <fills count="16">
    <fill>
      <patternFill/>
    </fill>
    <fill>
      <patternFill patternType="gray125"/>
    </fill>
    <fill>
      <patternFill patternType="solid">
        <fgColor theme="7" tint="-0.249977111117893"/>
        <bgColor rgb="FF4F81BD"/>
      </patternFill>
    </fill>
    <fill>
      <patternFill patternType="solid">
        <fgColor theme="7" tint="-0.249977111117893"/>
        <bgColor rgb="FF1F4E78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rgb="FFDEEBF7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EBF3FB"/>
      </patternFill>
    </fill>
    <fill>
      <patternFill patternType="solid">
        <fgColor rgb="FFFFD966"/>
        <bgColor rgb="FFFFE066"/>
      </patternFill>
    </fill>
    <fill>
      <patternFill patternType="solid">
        <fgColor rgb="FFEBF3FB"/>
        <bgColor rgb="FFDEEBF7"/>
      </patternFill>
    </fill>
    <fill>
      <patternFill patternType="solid">
        <fgColor rgb="FF70AD47"/>
        <bgColor rgb="FF99CC00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FCE4D6"/>
        <bgColor rgb="FFFFF2CC"/>
      </patternFill>
    </fill>
  </fills>
  <borders count="12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left" vertical="center" indent="1"/>
    </xf>
    <xf numFmtId="0" fontId="4" fillId="5" borderId="6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3" fillId="6" borderId="8" applyAlignment="1" pivotButton="0" quotePrefix="0" xfId="0">
      <alignment horizontal="left" vertical="center" indent="1"/>
    </xf>
    <xf numFmtId="0" fontId="4" fillId="7" borderId="8" applyAlignment="1" pivotButton="0" quotePrefix="0" xfId="0">
      <alignment horizontal="center" vertical="center"/>
    </xf>
    <xf numFmtId="0" fontId="5" fillId="8" borderId="8" applyAlignment="1" pivotButton="0" quotePrefix="0" xfId="0">
      <alignment horizontal="left" vertical="center" indent="1"/>
    </xf>
    <xf numFmtId="0" fontId="4" fillId="9" borderId="8" applyAlignment="1" pivotButton="0" quotePrefix="0" xfId="0">
      <alignment horizontal="center" vertical="center"/>
    </xf>
    <xf numFmtId="0" fontId="3" fillId="10" borderId="8" applyAlignment="1" pivotButton="0" quotePrefix="0" xfId="0">
      <alignment horizontal="left" vertical="center" indent="1"/>
    </xf>
    <xf numFmtId="0" fontId="6" fillId="11" borderId="9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6" fillId="5" borderId="9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5" borderId="5" applyAlignment="1" pivotButton="0" quotePrefix="0" xfId="0">
      <alignment horizontal="left" vertical="center"/>
    </xf>
    <xf numFmtId="0" fontId="6" fillId="5" borderId="9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4" fillId="11" borderId="8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7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164" fontId="6" fillId="11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11" borderId="5" applyAlignment="1" pivotButton="0" quotePrefix="0" xfId="0">
      <alignment horizontal="left" vertical="center"/>
    </xf>
    <xf numFmtId="0" fontId="4" fillId="11" borderId="6" applyAlignment="1" pivotButton="0" quotePrefix="0" xfId="0">
      <alignment horizontal="center" vertical="center"/>
    </xf>
    <xf numFmtId="164" fontId="6" fillId="11" borderId="7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Normal" xfId="0" builtinId="0"/>
  </cellStyles>
  <dxfs count="29"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center" vertical="center"/>
      <border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left" vertical="center"/>
      <border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1F4E78"/>
          <bgColor theme="7" tint="-0.249977111117893"/>
        </patternFill>
      </fill>
      <alignment horizontal="center" vertical="center" wrapText="1"/>
      <border outline="0">
        <left style="thin">
          <color rgb="FFBBBBBB"/>
        </left>
        <right style="thin">
          <color rgb="FFBBBBBB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center" vertical="center"/>
      <border>
        <left style="thin">
          <color rgb="FFBBBBBB"/>
        </left>
        <right/>
        <top style="thin">
          <color rgb="FFBBBBBB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center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/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800000"/>
          <bgColor rgb="FFC00000"/>
        </patternFill>
      </fill>
      <alignment horizontal="left" vertical="center" indent="1"/>
      <border>
        <left/>
        <right style="thin">
          <color rgb="FFBBBBBB"/>
        </right>
        <top style="thin">
          <color rgb="FFBBBBBB"/>
        </top>
        <bottom/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1F4E78"/>
          <bgColor theme="7" tint="-0.249977111117893"/>
        </patternFill>
      </fill>
      <alignment horizontal="center" vertical="center" wrapText="1"/>
      <border outline="0">
        <left style="thin">
          <color rgb="FFBBBBBB"/>
        </left>
        <right style="thin">
          <color rgb="FFBBBBBB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center" vertical="center"/>
      <border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center" vertical="center"/>
      <border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DEEBF7"/>
          <bgColor theme="0"/>
        </patternFill>
      </fill>
      <alignment horizontal="center" vertical="center"/>
      <border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1F4E78"/>
          <bgColor theme="7" tint="-0.249977111117893"/>
        </patternFill>
      </fill>
      <alignment horizontal="center" vertical="center" wrapText="1"/>
      <border outline="0">
        <left style="thin">
          <color rgb="FFBBBBBB"/>
        </left>
        <right style="thin">
          <color rgb="FFBBBBBB"/>
        </right>
        <top/>
        <bottom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1F4E78"/>
          <bgColor theme="7" tint="-0.249977111117893"/>
        </patternFill>
      </fill>
      <alignment horizontal="center" vertical="center" wrapText="1"/>
      <border outline="0">
        <left style="thin">
          <color rgb="FFBBBBBB"/>
        </left>
        <right style="thin">
          <color rgb="FFBBBBBB"/>
        </right>
        <top/>
        <bottom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1F4E78"/>
          <bgColor theme="7" tint="-0.249977111117893"/>
        </patternFill>
      </fill>
      <alignment horizontal="center" vertical="center" wrapText="1"/>
      <border outline="0">
        <left style="thin">
          <color rgb="FFBBBBBB"/>
        </left>
        <right style="thin">
          <color rgb="FFBBBBBB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1-</a:t>
            </a:r>
            <a:r>
              <a:rPr lang="fr-FR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Distribution Risques Initiaux vs Résiduels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730524406932069"/>
          <y val="0.1779406078437846"/>
          <w val="0.7629980613432773"/>
          <h val="0.686121872046494"/>
        </manualLayout>
      </layout>
      <barChart>
        <barDir val="col"/>
        <grouping val="clustered"/>
        <varyColors val="0"/>
        <ser>
          <idx val="0"/>
          <order val="0"/>
          <tx>
            <strRef>
              <f>[1]Dashboard!$B$5</f>
              <strCache>
                <ptCount val="1"/>
                <pt idx="0">
                  <v>Nb Initial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dLbl>
              <idx val="0"/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[1]Dashboard!$A$6:$A$9</f>
              <strCache>
                <ptCount val="4"/>
                <pt idx="0">
                  <v>CRITIQUE (≥12)</v>
                </pt>
                <pt idx="1">
                  <v>MAJEUR (8-11)</v>
                </pt>
                <pt idx="2">
                  <v>MOYEN (4-7)</v>
                </pt>
                <pt idx="3">
                  <v>MINEUR (1-3)</v>
                </pt>
              </strCache>
            </strRef>
          </cat>
          <val>
            <numRef>
              <f>[1]Dashboard!$B$6:$B$9</f>
              <numCache>
                <formatCode>General</formatCode>
                <ptCount val="4"/>
                <pt idx="0">
                  <v>1</v>
                </pt>
                <pt idx="1">
                  <v>2</v>
                </pt>
                <pt idx="2">
                  <v>10</v>
                </pt>
                <pt idx="3">
                  <v>7</v>
                </pt>
              </numCache>
            </numRef>
          </val>
        </ser>
        <ser>
          <idx val="1"/>
          <order val="1"/>
          <tx>
            <strRef>
              <f>[1]Dashboard!$C$5</f>
              <strCache>
                <ptCount val="1"/>
                <pt idx="0">
                  <v>Nb Résiduel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dLbl>
              <idx val="0"/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dLbl>
              <idx val="1"/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[1]Dashboard!$A$6:$A$9</f>
              <strCache>
                <ptCount val="4"/>
                <pt idx="0">
                  <v>CRITIQUE (≥12)</v>
                </pt>
                <pt idx="1">
                  <v>MAJEUR (8-11)</v>
                </pt>
                <pt idx="2">
                  <v>MOYEN (4-7)</v>
                </pt>
                <pt idx="3">
                  <v>MINEUR (1-3)</v>
                </pt>
              </strCache>
            </strRef>
          </cat>
          <val>
            <numRef>
              <f>[1]Dashboard!$C$6:$C$9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3</v>
                </pt>
                <pt idx="3">
                  <v>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9915675"/>
        <axId val="95362001"/>
      </barChart>
      <catAx>
        <axId val="7991567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Niveau de criticité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95362001"/>
        <crosses val="autoZero"/>
        <auto val="1"/>
        <lblAlgn val="ctr"/>
        <lblOffset val="100"/>
        <noMultiLvlLbl val="0"/>
      </catAx>
      <valAx>
        <axId val="9536200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Nombre de risques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799156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2- Risques par Actif Impacté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[1]Dashboard!$B$22</f>
              <strCache>
                <ptCount val="1"/>
                <pt idx="0">
                  <v>Nb Menaces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[1]Dashboard!$A$23:$A$30</f>
              <strCache>
                <ptCount val="8"/>
                <pt idx="0">
                  <v>BD Clients (A001)</v>
                </pt>
                <pt idx="1">
                  <v>ERP Sage 100 (A002)</v>
                </pt>
                <pt idx="2">
                  <v>Comptes AD (A004)</v>
                </pt>
                <pt idx="3">
                  <v>Dépôt Git (A003)</v>
                </pt>
                <pt idx="4">
                  <v>Données financières (A005)</v>
                </pt>
                <pt idx="5">
                  <v>Équipements réseau (A007)</v>
                </pt>
                <pt idx="6">
                  <v>Sauvegardes (A010)</v>
                </pt>
                <pt idx="7">
                  <v>Postes de travail (A008)</v>
                </pt>
              </strCache>
            </strRef>
          </cat>
          <val>
            <numRef>
              <f>[1]Dashboard!$B$23:$B$30</f>
              <numCache>
                <formatCode>General</formatCode>
                <ptCount val="8"/>
                <pt idx="0">
                  <v>8</v>
                </pt>
                <pt idx="1">
                  <v>7</v>
                </pt>
                <pt idx="2">
                  <v>6</v>
                </pt>
                <pt idx="3">
                  <v>5</v>
                </pt>
                <pt idx="4">
                  <v>5</v>
                </pt>
                <pt idx="5">
                  <v>4</v>
                </pt>
                <pt idx="6">
                  <v>4</v>
                </pt>
                <pt idx="7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5696596"/>
        <axId val="86791890"/>
      </barChart>
      <catAx>
        <axId val="95696596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Nombre de menaces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86791890"/>
        <crosses val="autoZero"/>
        <auto val="1"/>
        <lblAlgn val="ctr"/>
        <lblOffset val="100"/>
        <noMultiLvlLbl val="0"/>
      </catAx>
      <valAx>
        <axId val="86791890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95696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3-</a:t>
            </a:r>
            <a:r>
              <a:rPr lang="fr-FR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Évolution Traitement des Risques (J1&gt;J9)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[1]Dashboard!$B$39</f>
              <strCache>
                <ptCount val="1"/>
                <pt idx="0">
                  <v>Conformité %</v>
                </pt>
              </strCache>
            </strRef>
          </tx>
          <spPr>
            <a:ln xmlns:a="http://schemas.openxmlformats.org/drawingml/2006/main" w="24840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fr-F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[1]Dashboard!$A$40:$A$48</f>
              <strCache>
                <ptCount val="9"/>
                <pt idx="0">
                  <v>J1</v>
                </pt>
                <pt idx="1">
                  <v>J2</v>
                </pt>
                <pt idx="2">
                  <v>J3</v>
                </pt>
                <pt idx="3">
                  <v>J4</v>
                </pt>
                <pt idx="4">
                  <v>J5</v>
                </pt>
                <pt idx="5">
                  <v>J6</v>
                </pt>
                <pt idx="6">
                  <v>J7</v>
                </pt>
                <pt idx="7">
                  <v>J8</v>
                </pt>
                <pt idx="8">
                  <v>J9</v>
                </pt>
              </strCache>
            </strRef>
          </cat>
          <val>
            <numRef>
              <f>[1]Dashboard!$B$40:$B$48</f>
              <numCache>
                <formatCode>General</formatCode>
                <ptCount val="9"/>
                <pt idx="0">
                  <v>60</v>
                </pt>
                <pt idx="1">
                  <v>62</v>
                </pt>
                <pt idx="2">
                  <v>65</v>
                </pt>
                <pt idx="3">
                  <v>68</v>
                </pt>
                <pt idx="4">
                  <v>70</v>
                </pt>
                <pt idx="5">
                  <v>75</v>
                </pt>
                <pt idx="6">
                  <v>80</v>
                </pt>
                <pt idx="7">
                  <v>82</v>
                </pt>
                <pt idx="8">
                  <v>90.70999999999999</v>
                </pt>
              </numCache>
            </numRef>
          </val>
          <smooth val="1"/>
        </ser>
        <ser>
          <idx val="1"/>
          <order val="1"/>
          <tx>
            <strRef>
              <f>[1]Dashboard!$C$39</f>
              <strCache>
                <ptCount val="1"/>
                <pt idx="0">
                  <v>Risk Score</v>
                </pt>
              </strCache>
            </strRef>
          </tx>
          <spPr>
            <a:ln xmlns:a="http://schemas.openxmlformats.org/drawingml/2006/main" w="24840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fr-F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[1]Dashboard!$A$40:$A$48</f>
              <strCache>
                <ptCount val="9"/>
                <pt idx="0">
                  <v>J1</v>
                </pt>
                <pt idx="1">
                  <v>J2</v>
                </pt>
                <pt idx="2">
                  <v>J3</v>
                </pt>
                <pt idx="3">
                  <v>J4</v>
                </pt>
                <pt idx="4">
                  <v>J5</v>
                </pt>
                <pt idx="5">
                  <v>J6</v>
                </pt>
                <pt idx="6">
                  <v>J7</v>
                </pt>
                <pt idx="7">
                  <v>J8</v>
                </pt>
                <pt idx="8">
                  <v>J9</v>
                </pt>
              </strCache>
            </strRef>
          </cat>
          <val>
            <numRef>
              <f>[1]Dashboard!$C$40:$C$48</f>
              <numCache>
                <formatCode>General</formatCode>
                <ptCount val="9"/>
                <pt idx="0">
                  <v>75.2</v>
                </pt>
                <pt idx="1">
                  <v>73.5</v>
                </pt>
                <pt idx="2">
                  <v>71.8</v>
                </pt>
                <pt idx="3">
                  <v>65.3</v>
                </pt>
                <pt idx="4">
                  <v>58.7</v>
                </pt>
                <pt idx="5">
                  <v>52.4</v>
                </pt>
                <pt idx="6">
                  <v>48.1</v>
                </pt>
                <pt idx="7">
                  <v>40.5</v>
                </pt>
                <pt idx="8">
                  <v>32.2</v>
                </pt>
              </numCache>
            </numRef>
          </val>
          <smooth val="1"/>
        </ser>
        <ser>
          <idx val="2"/>
          <order val="2"/>
          <tx>
            <strRef>
              <f>[1]Dashboard!$D$39</f>
              <strCache>
                <ptCount val="1"/>
                <pt idx="0">
                  <v>Formation %</v>
                </pt>
              </strCache>
            </strRef>
          </tx>
          <spPr>
            <a:ln xmlns:a="http://schemas.openxmlformats.org/drawingml/2006/main" w="20160">
              <a:solidFill>
                <a:srgbClr val="2E75B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fr-F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[1]Dashboard!$A$40:$A$48</f>
              <strCache>
                <ptCount val="9"/>
                <pt idx="0">
                  <v>J1</v>
                </pt>
                <pt idx="1">
                  <v>J2</v>
                </pt>
                <pt idx="2">
                  <v>J3</v>
                </pt>
                <pt idx="3">
                  <v>J4</v>
                </pt>
                <pt idx="4">
                  <v>J5</v>
                </pt>
                <pt idx="5">
                  <v>J6</v>
                </pt>
                <pt idx="6">
                  <v>J7</v>
                </pt>
                <pt idx="7">
                  <v>J8</v>
                </pt>
                <pt idx="8">
                  <v>J9</v>
                </pt>
              </strCache>
            </strRef>
          </cat>
          <val>
            <numRef>
              <f>[1]Dashboard!$D$40:$D$48</f>
              <numCache>
                <formatCode>General</formatCode>
                <ptCount val="9"/>
                <pt idx="0">
                  <v>60</v>
                </pt>
                <pt idx="1">
                  <v>62</v>
                </pt>
                <pt idx="2">
                  <v>65</v>
                </pt>
                <pt idx="3">
                  <v>68</v>
                </pt>
                <pt idx="4">
                  <v>70</v>
                </pt>
                <pt idx="5">
                  <v>75</v>
                </pt>
                <pt idx="6">
                  <v>80</v>
                </pt>
                <pt idx="7">
                  <v>82</v>
                </pt>
                <pt idx="8">
                  <v>85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36808435"/>
        <axId val="81980787"/>
      </lineChart>
      <catAx>
        <axId val="3680843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Jours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81980787"/>
        <crosses val="autoZero"/>
        <auto val="1"/>
        <lblAlgn val="ctr"/>
        <lblOffset val="100"/>
        <noMultiLvlLbl val="0"/>
      </catAx>
      <valAx>
        <axId val="81980787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Valeur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368084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4-</a:t>
            </a:r>
            <a:r>
              <a:rPr lang="fr-FR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Conformité par Domaine ISO 27001:2022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[1]Dashboard!$C$56</f>
              <strCache>
                <ptCount val="1"/>
                <pt idx="0">
                  <v>Impl. Moy. 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2E75B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outEnd"/>
              <showLegendKey val="1"/>
              <showVal val="1"/>
              <showCatName val="1"/>
              <showSerName val="1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[1]Dashboard!$A$57:$A$60</f>
              <strCache>
                <ptCount val="4"/>
                <pt idx="0">
                  <v>A.5 – Organisationnel (37)</v>
                </pt>
                <pt idx="1">
                  <v>A.6 – Personnes (8)</v>
                </pt>
                <pt idx="2">
                  <v>A.7 – Physique (14)</v>
                </pt>
                <pt idx="3">
                  <v>A.8 – Technologique (34)</v>
                </pt>
              </strCache>
            </strRef>
          </cat>
          <val>
            <numRef>
              <f>[1]Dashboard!$C$57:$C$60</f>
              <numCache>
                <formatCode>General</formatCode>
                <ptCount val="4"/>
                <pt idx="0">
                  <v>57</v>
                </pt>
                <pt idx="1">
                  <v>70</v>
                </pt>
                <pt idx="2">
                  <v>56</v>
                </pt>
                <pt idx="3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6629964"/>
        <axId val="77807014"/>
      </barChart>
      <catAx>
        <axId val="7662996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Domaine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77807014"/>
        <crosses val="autoZero"/>
        <auto val="1"/>
        <lblAlgn val="ctr"/>
        <lblOffset val="100"/>
        <noMultiLvlLbl val="0"/>
      </catAx>
      <valAx>
        <axId val="77807014"/>
        <scaling>
          <orientation val="minMax"/>
          <max val="100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Taux d'implémentation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fr-FR"/>
          </a:p>
        </txPr>
        <crossAx val="766299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5- Décisions de Traitement des 20 Risques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[1]Dashboard!$B$66</f>
              <strCache>
                <ptCount val="1"/>
                <pt idx="0">
                  <v>Nb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2E75B6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fr-FR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fr-FR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[1]Dashboard!$A$67:$A$69</f>
              <strCache>
                <ptCount val="3"/>
                <pt idx="0">
                  <v>RÉDUIRE</v>
                </pt>
                <pt idx="1">
                  <v>TRANSFÉRER</v>
                </pt>
                <pt idx="2">
                  <v>RÉDUIRE/TRANSFÉRER</v>
                </pt>
              </strCache>
            </strRef>
          </cat>
          <val>
            <numRef>
              <f>[1]Dashboard!$B$67:$B$69</f>
              <numCache>
                <formatCode>General</formatCode>
                <ptCount val="3"/>
                <pt idx="0">
                  <v>18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 editAs="oneCell">
    <from>
      <col>4</col>
      <colOff>326570</colOff>
      <row>3</row>
      <rowOff>136073</rowOff>
    </from>
    <to>
      <col>16</col>
      <colOff>157841</colOff>
      <row>23</row>
      <rowOff>40822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16</col>
      <colOff>267607</colOff>
      <row>8</row>
      <rowOff>1</rowOff>
    </from>
    <to>
      <col>28</col>
      <colOff>412751</colOff>
      <row>27</row>
      <rowOff>88902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10</col>
      <colOff>308427</colOff>
      <row>31</row>
      <rowOff>72572</rowOff>
    </from>
    <to>
      <col>16</col>
      <colOff>749032</colOff>
      <row>50</row>
      <rowOff>91854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4</col>
      <colOff>0</colOff>
      <row>53</row>
      <rowOff>59039</rowOff>
    </from>
    <to>
      <col>14</col>
      <colOff>667657</colOff>
      <row>73</row>
      <rowOff>123370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16</col>
      <colOff>340178</colOff>
      <row>53</row>
      <rowOff>68112</rowOff>
    </from>
    <to>
      <col>27</col>
      <colOff>37192</colOff>
      <row>73</row>
      <rowOff>1928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PC/Downloads/EBIOS_RM_MASTER_COMPLET_V3%20(1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exte et Perimetre"/>
      <sheetName val="Ateliers EBIOS RM"/>
      <sheetName val="Registre des Actifs"/>
      <sheetName val="Registre des risques"/>
      <sheetName val="Matrice de Criticite"/>
      <sheetName val="Heatmap ANSSI"/>
      <sheetName val="Cartographie des Risques"/>
      <sheetName val="SOA  Déclaration Applicabilité"/>
      <sheetName val="Traitement ISO27001"/>
      <sheetName val="Mapping EBIOS ISO "/>
      <sheetName val="Mesures de Securite"/>
      <sheetName val="Plan d'Actions"/>
      <sheetName val="Indicateurs de Suivi"/>
      <sheetName val="Donnees "/>
      <sheetName val="Dashboard"/>
      <sheetName val="Synthese"/>
      <sheetName val="Checklist de Sui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Nb Initial</v>
          </cell>
          <cell r="C5" t="str">
            <v>Nb Résiduel</v>
          </cell>
        </row>
        <row r="6">
          <cell r="A6" t="str">
            <v>CRITIQUE (≥12)</v>
          </cell>
          <cell r="B6">
            <v>1</v>
          </cell>
          <cell r="C6">
            <v>0</v>
          </cell>
        </row>
        <row r="7">
          <cell r="A7" t="str">
            <v>MAJEUR (8-11)</v>
          </cell>
          <cell r="B7">
            <v>2</v>
          </cell>
          <cell r="C7">
            <v>0</v>
          </cell>
        </row>
        <row r="8">
          <cell r="A8" t="str">
            <v>MOYEN (4-7)</v>
          </cell>
          <cell r="B8">
            <v>10</v>
          </cell>
          <cell r="C8">
            <v>3</v>
          </cell>
        </row>
        <row r="9">
          <cell r="A9" t="str">
            <v>MINEUR (1-3)</v>
          </cell>
          <cell r="B9">
            <v>7</v>
          </cell>
          <cell r="C9">
            <v>17</v>
          </cell>
        </row>
        <row r="22">
          <cell r="B22" t="str">
            <v>Nb Menaces</v>
          </cell>
        </row>
        <row r="23">
          <cell r="A23" t="str">
            <v>BD Clients (A001)</v>
          </cell>
          <cell r="B23">
            <v>8</v>
          </cell>
        </row>
        <row r="24">
          <cell r="A24" t="str">
            <v>ERP Sage 100 (A002)</v>
          </cell>
          <cell r="B24">
            <v>7</v>
          </cell>
        </row>
        <row r="25">
          <cell r="A25" t="str">
            <v>Comptes AD (A004)</v>
          </cell>
          <cell r="B25">
            <v>6</v>
          </cell>
        </row>
        <row r="26">
          <cell r="A26" t="str">
            <v>Dépôt Git (A003)</v>
          </cell>
          <cell r="B26">
            <v>5</v>
          </cell>
        </row>
        <row r="27">
          <cell r="A27" t="str">
            <v>Données financières (A005)</v>
          </cell>
          <cell r="B27">
            <v>5</v>
          </cell>
        </row>
        <row r="28">
          <cell r="A28" t="str">
            <v>Équipements réseau (A007)</v>
          </cell>
          <cell r="B28">
            <v>4</v>
          </cell>
        </row>
        <row r="29">
          <cell r="A29" t="str">
            <v>Sauvegardes (A010)</v>
          </cell>
          <cell r="B29">
            <v>4</v>
          </cell>
        </row>
        <row r="30">
          <cell r="A30" t="str">
            <v>Postes de travail (A008)</v>
          </cell>
          <cell r="B30">
            <v>3</v>
          </cell>
        </row>
        <row r="39">
          <cell r="B39" t="str">
            <v>Conformité %</v>
          </cell>
          <cell r="C39" t="str">
            <v>Risk Score</v>
          </cell>
          <cell r="D39" t="str">
            <v>Formation %</v>
          </cell>
        </row>
        <row r="40">
          <cell r="A40" t="str">
            <v>J1</v>
          </cell>
          <cell r="B40">
            <v>60</v>
          </cell>
          <cell r="C40">
            <v>75.2</v>
          </cell>
          <cell r="D40">
            <v>60</v>
          </cell>
        </row>
        <row r="41">
          <cell r="A41" t="str">
            <v>J2</v>
          </cell>
          <cell r="B41">
            <v>62</v>
          </cell>
          <cell r="C41">
            <v>73.5</v>
          </cell>
          <cell r="D41">
            <v>62</v>
          </cell>
        </row>
        <row r="42">
          <cell r="A42" t="str">
            <v>J3</v>
          </cell>
          <cell r="B42">
            <v>65</v>
          </cell>
          <cell r="C42">
            <v>71.8</v>
          </cell>
          <cell r="D42">
            <v>65</v>
          </cell>
        </row>
        <row r="43">
          <cell r="A43" t="str">
            <v>J4</v>
          </cell>
          <cell r="B43">
            <v>68</v>
          </cell>
          <cell r="C43">
            <v>65.3</v>
          </cell>
          <cell r="D43">
            <v>68</v>
          </cell>
        </row>
        <row r="44">
          <cell r="A44" t="str">
            <v>J5</v>
          </cell>
          <cell r="B44">
            <v>70</v>
          </cell>
          <cell r="C44">
            <v>58.7</v>
          </cell>
          <cell r="D44">
            <v>70</v>
          </cell>
        </row>
        <row r="45">
          <cell r="A45" t="str">
            <v>J6</v>
          </cell>
          <cell r="B45">
            <v>75</v>
          </cell>
          <cell r="C45">
            <v>52.4</v>
          </cell>
          <cell r="D45">
            <v>75</v>
          </cell>
        </row>
        <row r="46">
          <cell r="A46" t="str">
            <v>J7</v>
          </cell>
          <cell r="B46">
            <v>80</v>
          </cell>
          <cell r="C46">
            <v>48.1</v>
          </cell>
          <cell r="D46">
            <v>80</v>
          </cell>
        </row>
        <row r="47">
          <cell r="A47" t="str">
            <v>J8</v>
          </cell>
          <cell r="B47">
            <v>82</v>
          </cell>
          <cell r="C47">
            <v>40.5</v>
          </cell>
          <cell r="D47">
            <v>82</v>
          </cell>
        </row>
        <row r="48">
          <cell r="A48" t="str">
            <v>J9</v>
          </cell>
          <cell r="B48">
            <v>90.71</v>
          </cell>
          <cell r="C48">
            <v>32.200000000000003</v>
          </cell>
          <cell r="D48">
            <v>85</v>
          </cell>
        </row>
        <row r="56">
          <cell r="C56" t="str">
            <v>Impl. Moy. %</v>
          </cell>
        </row>
        <row r="57">
          <cell r="A57" t="str">
            <v>A.5 – Organisationnel (37)</v>
          </cell>
          <cell r="C57">
            <v>57</v>
          </cell>
        </row>
        <row r="58">
          <cell r="A58" t="str">
            <v>A.6 – Personnes (8)</v>
          </cell>
          <cell r="C58">
            <v>70</v>
          </cell>
        </row>
        <row r="59">
          <cell r="A59" t="str">
            <v>A.7 – Physique (14)</v>
          </cell>
          <cell r="C59">
            <v>56</v>
          </cell>
        </row>
        <row r="60">
          <cell r="A60" t="str">
            <v>A.8 – Technologique (34)</v>
          </cell>
          <cell r="C60">
            <v>49</v>
          </cell>
        </row>
        <row r="66">
          <cell r="B66" t="str">
            <v>Nb</v>
          </cell>
        </row>
        <row r="67">
          <cell r="A67" t="str">
            <v>RÉDUIRE</v>
          </cell>
          <cell r="B67">
            <v>18</v>
          </cell>
        </row>
        <row r="68">
          <cell r="A68" t="str">
            <v>TRANSFÉRER</v>
          </cell>
          <cell r="B68">
            <v>1</v>
          </cell>
        </row>
        <row r="69">
          <cell r="A69" t="str">
            <v>RÉDUIRE/TRANSFÉRER</v>
          </cell>
          <cell r="B69">
            <v>1</v>
          </cell>
        </row>
      </sheetData>
      <sheetData sheetId="15"/>
      <sheetData sheetId="16"/>
    </sheetDataSet>
  </externalBook>
</externalLink>
</file>

<file path=xl/tables/table1.xml><?xml version="1.0" encoding="utf-8"?>
<table xmlns="http://schemas.openxmlformats.org/spreadsheetml/2006/main" id="1" name="Tableau21" displayName="Tableau21" ref="A66:C69" headerRowCount="1" totalsRowShown="0" headerRowDxfId="28" headerRowBorderDxfId="26" tableBorderDxfId="27" totalsRowBorderDxfId="25">
  <autoFilter ref="A66:C69"/>
  <tableColumns count="3">
    <tableColumn id="1" name="Décision"/>
    <tableColumn id="2" name="Nb"/>
    <tableColumn id="3" name="% Total">
      <calculatedColumnFormula>B67/20*100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au22" displayName="Tableau22" ref="A56:C60" headerRowCount="1" totalsRowShown="0" headerRowDxfId="24" headerRowBorderDxfId="22" tableBorderDxfId="23" totalsRowBorderDxfId="21">
  <autoFilter ref="A56:C60"/>
  <tableColumns count="3">
    <tableColumn id="1" name="Domaine (Thème)"/>
    <tableColumn id="2" name="Contrôles"/>
    <tableColumn id="3" name="Impl. Moy. %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au23" displayName="Tableau23" ref="A39:D48" headerRowCount="1" totalsRowShown="0" headerRowDxfId="20" headerRowBorderDxfId="18" tableBorderDxfId="19" totalsRowBorderDxfId="17">
  <autoFilter ref="A39:D48"/>
  <tableColumns count="4">
    <tableColumn id="1" name="Jour" dataDxfId="16"/>
    <tableColumn id="2" name="Conformité %" dataDxfId="15"/>
    <tableColumn id="3" name="Risk Score" dataDxfId="14"/>
    <tableColumn id="4" name="Formation %" dataDxfId="13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leau24" displayName="Tableau24" ref="A5:C6" headerRowCount="1" totalsRowShown="0" headerRowDxfId="12" headerRowBorderDxfId="10" tableBorderDxfId="11" totalsRowBorderDxfId="9">
  <autoFilter ref="A5:C6"/>
  <tableColumns count="3">
    <tableColumn id="1" name="Niveau" dataDxfId="8"/>
    <tableColumn id="2" name="Nb Initial" dataDxfId="7"/>
    <tableColumn id="3" name="Nb Résiduel" dataDxfId="6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ableau25" displayName="Tableau25" ref="A22:B30" headerRowCount="1" totalsRowShown="0" headerRowDxfId="5" headerRowBorderDxfId="3" tableBorderDxfId="4" totalsRowBorderDxfId="2">
  <autoFilter ref="A22:B30"/>
  <tableColumns count="2">
    <tableColumn id="1" name="Actif" dataDxfId="1"/>
    <tableColumn id="2" name="Nb Menaces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tabSelected="1" zoomScale="46" workbookViewId="0">
      <selection activeCell="H26" sqref="H26"/>
    </sheetView>
  </sheetViews>
  <sheetFormatPr baseColWidth="10" defaultRowHeight="14.5"/>
  <cols>
    <col width="24.90625" customWidth="1" min="1" max="1"/>
    <col width="20.7265625" customWidth="1" min="2" max="2"/>
  </cols>
  <sheetData>
    <row r="1"/>
    <row r="2">
      <c r="A2" s="1" t="n"/>
    </row>
    <row r="3"/>
    <row r="4">
      <c r="A4" s="2" t="inlineStr">
        <is>
          <t>1- Distribution des Risques par Criticité</t>
        </is>
      </c>
      <c r="B4" s="41" t="n"/>
      <c r="C4" s="41" t="n"/>
    </row>
    <row r="5" ht="26" customHeight="1">
      <c r="A5" s="3" t="inlineStr">
        <is>
          <t>Niveau</t>
        </is>
      </c>
      <c r="B5" s="4" t="inlineStr">
        <is>
          <t>Nb Initial</t>
        </is>
      </c>
      <c r="C5" s="5" t="inlineStr">
        <is>
          <t>Nb Résiduel</t>
        </is>
      </c>
    </row>
    <row r="6">
      <c r="A6" s="6" t="inlineStr">
        <is>
          <t>CRITIQUE (≥12)</t>
        </is>
      </c>
      <c r="B6" s="7" t="n">
        <v>1</v>
      </c>
      <c r="C6" s="8" t="n">
        <v>0</v>
      </c>
    </row>
    <row r="7">
      <c r="A7" s="9" t="inlineStr">
        <is>
          <t>MAJEUR (8-11)</t>
        </is>
      </c>
      <c r="B7" s="10" t="n">
        <v>2</v>
      </c>
      <c r="C7" s="10" t="n">
        <v>0</v>
      </c>
    </row>
    <row r="8">
      <c r="A8" s="11" t="inlineStr">
        <is>
          <t>MOYEN (4-7)</t>
        </is>
      </c>
      <c r="B8" s="12" t="n">
        <v>10</v>
      </c>
      <c r="C8" s="12" t="n">
        <v>3</v>
      </c>
    </row>
    <row r="9">
      <c r="A9" s="13" t="inlineStr">
        <is>
          <t>MINEUR (1-3)</t>
        </is>
      </c>
      <c r="B9" s="10" t="n">
        <v>7</v>
      </c>
      <c r="C9" s="10" t="n">
        <v>17</v>
      </c>
    </row>
    <row r="10"/>
    <row r="11"/>
    <row r="12"/>
    <row r="13"/>
    <row r="14"/>
    <row r="15"/>
    <row r="16"/>
    <row r="17"/>
    <row r="18"/>
    <row r="19"/>
    <row r="20"/>
    <row r="21">
      <c r="A21" s="2" t="inlineStr">
        <is>
          <t>2- Risques par Actif Impacté (top 8)</t>
        </is>
      </c>
      <c r="B21" s="41" t="n"/>
      <c r="C21" s="41" t="n"/>
    </row>
    <row r="22" ht="26" customHeight="1">
      <c r="A22" s="3" t="inlineStr">
        <is>
          <t>Actif</t>
        </is>
      </c>
      <c r="B22" s="5" t="inlineStr">
        <is>
          <t>Nb Menaces</t>
        </is>
      </c>
    </row>
    <row r="23">
      <c r="A23" s="14" t="inlineStr">
        <is>
          <t>BD Clients (A001)</t>
        </is>
      </c>
      <c r="B23" s="15" t="n">
        <v>8</v>
      </c>
    </row>
    <row r="24">
      <c r="A24" s="16" t="inlineStr">
        <is>
          <t>ERP Sage 100 (A002)</t>
        </is>
      </c>
      <c r="B24" s="17" t="n">
        <v>7</v>
      </c>
    </row>
    <row r="25">
      <c r="A25" s="14" t="inlineStr">
        <is>
          <t>Comptes AD (A004)</t>
        </is>
      </c>
      <c r="B25" s="15" t="n">
        <v>6</v>
      </c>
    </row>
    <row r="26">
      <c r="A26" s="16" t="inlineStr">
        <is>
          <t>Dépôt Git (A003)</t>
        </is>
      </c>
      <c r="B26" s="17" t="n">
        <v>5</v>
      </c>
    </row>
    <row r="27">
      <c r="A27" s="14" t="inlineStr">
        <is>
          <t>Données financières (A005)</t>
        </is>
      </c>
      <c r="B27" s="15" t="n">
        <v>5</v>
      </c>
    </row>
    <row r="28">
      <c r="A28" s="16" t="inlineStr">
        <is>
          <t>Équipements réseau (A007)</t>
        </is>
      </c>
      <c r="B28" s="17" t="n">
        <v>4</v>
      </c>
    </row>
    <row r="29">
      <c r="A29" s="14" t="inlineStr">
        <is>
          <t>Sauvegardes (A010)</t>
        </is>
      </c>
      <c r="B29" s="15" t="n">
        <v>4</v>
      </c>
    </row>
    <row r="30">
      <c r="A30" s="18" t="inlineStr">
        <is>
          <t>Postes de travail (A008)</t>
        </is>
      </c>
      <c r="B30" s="8" t="n">
        <v>3</v>
      </c>
    </row>
    <row r="31"/>
    <row r="32"/>
    <row r="33"/>
    <row r="34"/>
    <row r="35"/>
    <row r="36"/>
    <row r="37"/>
    <row r="38">
      <c r="A38" s="2" t="inlineStr">
        <is>
          <t>3- Évolution Traitement des Risques (J1→J9)</t>
        </is>
      </c>
      <c r="B38" s="41" t="n"/>
      <c r="C38" s="41" t="n"/>
      <c r="D38" s="41" t="n"/>
    </row>
    <row r="39" ht="26" customHeight="1">
      <c r="A39" s="3" t="inlineStr">
        <is>
          <t>Jour</t>
        </is>
      </c>
      <c r="B39" s="4" t="inlineStr">
        <is>
          <t>Conformité %</t>
        </is>
      </c>
      <c r="C39" s="4" t="inlineStr">
        <is>
          <t>Risk Score</t>
        </is>
      </c>
      <c r="D39" s="5" t="inlineStr">
        <is>
          <t>Formation %</t>
        </is>
      </c>
    </row>
    <row r="40">
      <c r="A40" s="19" t="inlineStr">
        <is>
          <t>J1</t>
        </is>
      </c>
      <c r="B40" s="20" t="n">
        <v>60</v>
      </c>
      <c r="C40" s="21" t="n">
        <v>75.2</v>
      </c>
      <c r="D40" s="22" t="n">
        <v>60</v>
      </c>
    </row>
    <row r="41">
      <c r="A41" s="23" t="inlineStr">
        <is>
          <t>J2</t>
        </is>
      </c>
      <c r="B41" s="20" t="n">
        <v>62</v>
      </c>
      <c r="C41" s="24" t="n">
        <v>73.5</v>
      </c>
      <c r="D41" s="25" t="n">
        <v>62</v>
      </c>
    </row>
    <row r="42">
      <c r="A42" s="19" t="inlineStr">
        <is>
          <t>J3</t>
        </is>
      </c>
      <c r="B42" s="20" t="n">
        <v>65</v>
      </c>
      <c r="C42" s="21" t="n">
        <v>71.8</v>
      </c>
      <c r="D42" s="22" t="n">
        <v>65</v>
      </c>
    </row>
    <row r="43">
      <c r="A43" s="23" t="inlineStr">
        <is>
          <t>J4</t>
        </is>
      </c>
      <c r="B43" s="20" t="n">
        <v>68</v>
      </c>
      <c r="C43" s="24" t="n">
        <v>65.3</v>
      </c>
      <c r="D43" s="25" t="n">
        <v>68</v>
      </c>
    </row>
    <row r="44">
      <c r="A44" s="19" t="inlineStr">
        <is>
          <t>J5</t>
        </is>
      </c>
      <c r="B44" s="20" t="n">
        <v>70</v>
      </c>
      <c r="C44" s="21" t="n">
        <v>58.7</v>
      </c>
      <c r="D44" s="22" t="n">
        <v>70</v>
      </c>
    </row>
    <row r="45">
      <c r="A45" s="23" t="inlineStr">
        <is>
          <t>J6</t>
        </is>
      </c>
      <c r="B45" s="20" t="n">
        <v>75</v>
      </c>
      <c r="C45" s="24" t="n">
        <v>52.4</v>
      </c>
      <c r="D45" s="25" t="n">
        <v>75</v>
      </c>
    </row>
    <row r="46">
      <c r="A46" s="19" t="inlineStr">
        <is>
          <t>J7</t>
        </is>
      </c>
      <c r="B46" s="20" t="n">
        <v>80</v>
      </c>
      <c r="C46" s="21" t="n">
        <v>48.1</v>
      </c>
      <c r="D46" s="22" t="n">
        <v>80</v>
      </c>
    </row>
    <row r="47">
      <c r="A47" s="23" t="inlineStr">
        <is>
          <t>J8</t>
        </is>
      </c>
      <c r="B47" s="20" t="n">
        <v>82</v>
      </c>
      <c r="C47" s="24" t="n">
        <v>40.5</v>
      </c>
      <c r="D47" s="25" t="n">
        <v>82</v>
      </c>
    </row>
    <row r="48">
      <c r="A48" s="26" t="inlineStr">
        <is>
          <t>J9</t>
        </is>
      </c>
      <c r="B48" s="20" t="n">
        <v>90.70999999999999</v>
      </c>
      <c r="C48" s="27" t="n">
        <v>32.2</v>
      </c>
      <c r="D48" s="28" t="n">
        <v>85</v>
      </c>
    </row>
    <row r="49"/>
    <row r="50"/>
    <row r="51"/>
    <row r="52"/>
    <row r="53"/>
    <row r="54"/>
    <row r="55">
      <c r="A55" s="2" t="inlineStr">
        <is>
          <t>4- Conformité par Domaine ISO 27001:2022</t>
        </is>
      </c>
      <c r="B55" s="41" t="n"/>
      <c r="C55" s="41" t="n"/>
    </row>
    <row r="56" ht="26" customHeight="1">
      <c r="A56" s="3" t="inlineStr">
        <is>
          <t>Domaine (Thème)</t>
        </is>
      </c>
      <c r="B56" s="4" t="inlineStr">
        <is>
          <t>Contrôles</t>
        </is>
      </c>
      <c r="C56" s="5" t="inlineStr">
        <is>
          <t>Impl. Moy. %</t>
        </is>
      </c>
    </row>
    <row r="57">
      <c r="A57" s="14" t="inlineStr">
        <is>
          <t>A.5 – Organisationnel (37)</t>
        </is>
      </c>
      <c r="B57" s="29" t="n">
        <v>37</v>
      </c>
      <c r="C57" s="30" t="n">
        <v>57</v>
      </c>
    </row>
    <row r="58">
      <c r="A58" s="16" t="inlineStr">
        <is>
          <t>A.6 – Personnes (8)</t>
        </is>
      </c>
      <c r="B58" s="31" t="n">
        <v>8</v>
      </c>
      <c r="C58" s="32" t="n">
        <v>70</v>
      </c>
    </row>
    <row r="59">
      <c r="A59" s="14" t="inlineStr">
        <is>
          <t>A.7 – Physique (14)</t>
        </is>
      </c>
      <c r="B59" s="29" t="n">
        <v>14</v>
      </c>
      <c r="C59" s="30" t="n">
        <v>56</v>
      </c>
    </row>
    <row r="60">
      <c r="A60" s="18" t="inlineStr">
        <is>
          <t>A.8 – Technologique (34)</t>
        </is>
      </c>
      <c r="B60" s="7" t="n">
        <v>34</v>
      </c>
      <c r="C60" s="33" t="n">
        <v>49</v>
      </c>
    </row>
    <row r="61"/>
    <row r="62">
      <c r="A62" s="34" t="inlineStr">
        <is>
          <t>&gt; Cible J21 : 85% sur tous les domaines</t>
        </is>
      </c>
    </row>
    <row r="63"/>
    <row r="64"/>
    <row r="65">
      <c r="A65" s="2" t="inlineStr">
        <is>
          <t>5- Répartition des Décisions de Traitement</t>
        </is>
      </c>
      <c r="B65" s="41" t="n"/>
      <c r="C65" s="41" t="n"/>
    </row>
    <row r="66">
      <c r="A66" s="3" t="inlineStr">
        <is>
          <t>Décision</t>
        </is>
      </c>
      <c r="B66" s="4" t="inlineStr">
        <is>
          <t>Nb</t>
        </is>
      </c>
      <c r="C66" s="5" t="inlineStr">
        <is>
          <t>% Total</t>
        </is>
      </c>
    </row>
    <row r="67">
      <c r="A67" s="14" t="inlineStr">
        <is>
          <t>RÉDUIRE</t>
        </is>
      </c>
      <c r="B67" s="29" t="n">
        <v>18</v>
      </c>
      <c r="C67" s="36">
        <f>B67/20*100</f>
        <v/>
      </c>
    </row>
    <row r="68">
      <c r="A68" s="16" t="inlineStr">
        <is>
          <t>TRANSFÉRER</t>
        </is>
      </c>
      <c r="B68" s="31" t="n">
        <v>1</v>
      </c>
      <c r="C68" s="37">
        <f>B68/20*100</f>
        <v/>
      </c>
    </row>
    <row r="69">
      <c r="A69" s="38" t="inlineStr">
        <is>
          <t>RÉDUIRE/TRANSFÉRER</t>
        </is>
      </c>
      <c r="B69" s="39" t="n">
        <v>1</v>
      </c>
      <c r="C69" s="40">
        <f>B69/20*100</f>
        <v/>
      </c>
    </row>
  </sheetData>
  <mergeCells count="7">
    <mergeCell ref="A2:N2"/>
    <mergeCell ref="A38:D38"/>
    <mergeCell ref="A62:C62"/>
    <mergeCell ref="A21:C21"/>
    <mergeCell ref="A55:C55"/>
    <mergeCell ref="A4:C4"/>
    <mergeCell ref="A65:C65"/>
  </mergeCells>
  <pageMargins left="0.7" right="0.7" top="0.75" bottom="0.75" header="0.3" footer="0.3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2026-06-18T14:10:24Z</dcterms:created>
  <dcterms:modified xmlns:dcterms="http://purl.org/dc/terms/" xmlns:xsi="http://www.w3.org/2001/XMLSchema-instance" xsi:type="dcterms:W3CDTF">2026-10-08T19:02:43Z</dcterms:modified>
  <cp:lastModifiedBy>PC</cp:lastModifiedBy>
</cp:coreProperties>
</file>