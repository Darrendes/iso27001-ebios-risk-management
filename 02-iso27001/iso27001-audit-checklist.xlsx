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80" windowHeight="3980" tabRatio="600" firstSheet="0" activeTab="0" autoFilterDateGrouping="1"/>
  </bookViews>
  <sheets>
    <sheet xmlns:r="http://schemas.openxmlformats.org/officeDocument/2006/relationships" name="Checklist Audit ISO 27001" sheetId="1" state="visible" r:id="rId1"/>
    <sheet xmlns:r="http://schemas.openxmlformats.org/officeDocument/2006/relationships" name="Résumé Audi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rgb="FF1F4E78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tabSelected="1" topLeftCell="A78" workbookViewId="0">
      <selection activeCell="D72" sqref="D72"/>
    </sheetView>
  </sheetViews>
  <sheetFormatPr baseColWidth="10" defaultColWidth="9" defaultRowHeight="14.5"/>
  <cols>
    <col width="9" customWidth="1" min="1" max="1"/>
    <col width="12" customWidth="1" min="2" max="2"/>
    <col width="50" customWidth="1" min="3" max="3"/>
    <col width="12" customWidth="1" min="4" max="6"/>
    <col width="20" customWidth="1" min="7" max="7"/>
    <col width="30" customWidth="1" min="8" max="8"/>
  </cols>
  <sheetData>
    <row r="1" ht="26" customHeight="1">
      <c r="A1" s="7" t="inlineStr">
        <is>
          <t>Num</t>
        </is>
      </c>
      <c r="B1" s="7" t="inlineStr">
        <is>
          <t>Clause ISO</t>
        </is>
      </c>
      <c r="C1" s="7" t="inlineStr">
        <is>
          <t>Critère d'Audit</t>
        </is>
      </c>
      <c r="D1" s="7" t="inlineStr">
        <is>
          <t>Fait</t>
        </is>
      </c>
      <c r="E1" s="7" t="inlineStr">
        <is>
          <t>Partiellement</t>
        </is>
      </c>
      <c r="F1" s="7" t="inlineStr">
        <is>
          <t>Non-fait</t>
        </is>
      </c>
      <c r="G1" s="7" t="inlineStr">
        <is>
          <t>Evidence</t>
        </is>
      </c>
      <c r="H1" s="7" t="inlineStr">
        <is>
          <t>Commentaires</t>
        </is>
      </c>
    </row>
    <row r="2">
      <c r="A2" s="1" t="n">
        <v>1</v>
      </c>
      <c r="B2" s="1" t="inlineStr">
        <is>
          <t>A.5.1.1</t>
        </is>
      </c>
      <c r="C2" s="1" t="inlineStr">
        <is>
          <t>Une politique générale SMSI est documentée et approuvée par la direction</t>
        </is>
      </c>
      <c r="D2" s="4" t="inlineStr">
        <is>
          <t>oui</t>
        </is>
      </c>
      <c r="E2" s="2" t="n"/>
      <c r="F2" s="2" t="n"/>
      <c r="G2" s="5" t="n"/>
      <c r="H2" s="3" t="n"/>
    </row>
    <row r="3">
      <c r="A3" s="1" t="n">
        <v>2</v>
      </c>
      <c r="B3" s="1" t="inlineStr">
        <is>
          <t>A.5.1.2</t>
        </is>
      </c>
      <c r="C3" s="1" t="inlineStr">
        <is>
          <t>La politique SMSI est communiquée à tous les employés et partenaires</t>
        </is>
      </c>
      <c r="D3" s="4" t="inlineStr">
        <is>
          <t>Oui</t>
        </is>
      </c>
      <c r="E3" s="2" t="n"/>
      <c r="F3" s="2" t="n"/>
      <c r="G3" s="3" t="n"/>
      <c r="H3" s="3" t="n"/>
    </row>
    <row r="4">
      <c r="A4" s="1" t="n">
        <v>3</v>
      </c>
      <c r="B4" s="1" t="inlineStr">
        <is>
          <t>A.5.2.1</t>
        </is>
      </c>
      <c r="C4" s="1" t="inlineStr">
        <is>
          <t>Un responsable SMSI est désigné avec autorité et ressources</t>
        </is>
      </c>
      <c r="D4" s="4" t="inlineStr">
        <is>
          <t>Oui</t>
        </is>
      </c>
      <c r="E4" s="2" t="n"/>
      <c r="F4" s="2" t="n"/>
      <c r="G4" s="3" t="n"/>
      <c r="H4" s="3" t="n"/>
    </row>
    <row r="5">
      <c r="A5" s="1" t="n">
        <v>4</v>
      </c>
      <c r="B5" s="1" t="inlineStr">
        <is>
          <t>A.5.2.2</t>
        </is>
      </c>
      <c r="C5" s="1" t="inlineStr">
        <is>
          <t>Un comité SMSI se réunit régulièrement (minimum trimestriel)</t>
        </is>
      </c>
      <c r="D5" s="4" t="inlineStr">
        <is>
          <t>Oui</t>
        </is>
      </c>
      <c r="E5" s="2" t="n"/>
      <c r="F5" s="2" t="n"/>
      <c r="G5" s="3" t="n"/>
      <c r="H5" s="3" t="n"/>
    </row>
    <row r="6">
      <c r="A6" s="1" t="n">
        <v>5</v>
      </c>
      <c r="B6" s="1" t="inlineStr">
        <is>
          <t>A.5.3.1</t>
        </is>
      </c>
      <c r="C6" s="1" t="inlineStr">
        <is>
          <t>Les responsabilités SMSI sont documentées et assignées</t>
        </is>
      </c>
      <c r="D6" s="4" t="inlineStr">
        <is>
          <t>Oui</t>
        </is>
      </c>
      <c r="E6" s="2" t="n"/>
      <c r="F6" s="2" t="n"/>
      <c r="G6" s="3" t="n"/>
      <c r="H6" s="3" t="n"/>
    </row>
    <row r="7">
      <c r="A7" s="1" t="n">
        <v>6</v>
      </c>
      <c r="B7" s="1" t="inlineStr">
        <is>
          <t>A.5.3.2</t>
        </is>
      </c>
      <c r="C7" s="6" t="inlineStr">
        <is>
          <t>La responsabilité est établie pour tous les acteurs SMSI</t>
        </is>
      </c>
      <c r="D7" s="4" t="inlineStr">
        <is>
          <t>Oui</t>
        </is>
      </c>
      <c r="E7" s="2" t="n"/>
      <c r="F7" s="2" t="n"/>
      <c r="G7" s="3" t="n"/>
      <c r="H7" s="3" t="n"/>
    </row>
    <row r="8">
      <c r="A8" s="1" t="n">
        <v>7</v>
      </c>
      <c r="B8" s="1" t="inlineStr">
        <is>
          <t>A.6.1.1</t>
        </is>
      </c>
      <c r="C8" s="1" t="inlineStr">
        <is>
          <t>Le contexte organisationnel est documenté (parties prenantes, objectifs)</t>
        </is>
      </c>
      <c r="D8" s="4" t="inlineStr">
        <is>
          <t>Oui</t>
        </is>
      </c>
      <c r="E8" s="2" t="n"/>
      <c r="F8" s="2" t="n"/>
      <c r="G8" s="3" t="n"/>
      <c r="H8" s="3" t="n"/>
    </row>
    <row r="9">
      <c r="A9" s="1" t="n">
        <v>8</v>
      </c>
      <c r="B9" s="1" t="inlineStr">
        <is>
          <t>A.6.2.1</t>
        </is>
      </c>
      <c r="C9" s="1" t="inlineStr">
        <is>
          <t>Une analyse des risques est menée au minimum annuellement</t>
        </is>
      </c>
      <c r="D9" s="8" t="inlineStr">
        <is>
          <t>/</t>
        </is>
      </c>
      <c r="E9" s="8" t="inlineStr">
        <is>
          <t>Oui</t>
        </is>
      </c>
      <c r="F9" s="2" t="n"/>
      <c r="G9" s="3" t="n"/>
      <c r="H9" s="3" t="n"/>
    </row>
    <row r="10">
      <c r="A10" s="1" t="n">
        <v>9</v>
      </c>
      <c r="B10" s="1" t="inlineStr">
        <is>
          <t>A.6.2.2</t>
        </is>
      </c>
      <c r="C10" s="1" t="inlineStr">
        <is>
          <t>La méthodologie EBIOS RM est appliquée (ou équivalente)</t>
        </is>
      </c>
      <c r="D10" s="4" t="inlineStr">
        <is>
          <t>Oui</t>
        </is>
      </c>
      <c r="E10" s="2" t="n"/>
      <c r="F10" s="2" t="n"/>
      <c r="G10" s="3" t="n"/>
      <c r="H10" s="3" t="n"/>
    </row>
    <row r="11">
      <c r="A11" s="1" t="n">
        <v>10</v>
      </c>
      <c r="B11" s="1" t="inlineStr">
        <is>
          <t>A.6.2.3</t>
        </is>
      </c>
      <c r="C11" s="1" t="inlineStr">
        <is>
          <t>Les risques sont évalués (Probabilité × Impact)</t>
        </is>
      </c>
      <c r="D11" s="4" t="inlineStr">
        <is>
          <t>Oui</t>
        </is>
      </c>
      <c r="E11" s="2" t="n"/>
      <c r="F11" s="2" t="n"/>
      <c r="G11" s="3" t="n"/>
      <c r="H11" s="3" t="n"/>
    </row>
    <row r="12">
      <c r="A12" s="1" t="n">
        <v>11</v>
      </c>
      <c r="B12" s="1" t="inlineStr">
        <is>
          <t>A.6.3.1</t>
        </is>
      </c>
      <c r="C12" s="1" t="inlineStr">
        <is>
          <t>Un plan de traitement des risques existe et est approuvé</t>
        </is>
      </c>
      <c r="D12" s="8" t="inlineStr">
        <is>
          <t>Oui</t>
        </is>
      </c>
      <c r="E12" s="2" t="n"/>
      <c r="F12" s="2" t="n"/>
      <c r="G12" s="3" t="n"/>
      <c r="H12" s="3" t="n"/>
    </row>
    <row r="13">
      <c r="A13" s="1" t="n">
        <v>12</v>
      </c>
      <c r="B13" s="1" t="inlineStr">
        <is>
          <t>A.6.3.2</t>
        </is>
      </c>
      <c r="C13" s="1" t="inlineStr">
        <is>
          <t>Les décisions de traitement sont documentées (Accepter/Mitiguer/Transférer)</t>
        </is>
      </c>
      <c r="D13" s="8" t="inlineStr">
        <is>
          <t>/</t>
        </is>
      </c>
      <c r="E13" s="2" t="n"/>
      <c r="F13" s="4" t="inlineStr">
        <is>
          <t>OUI</t>
        </is>
      </c>
      <c r="G13" s="3" t="n"/>
      <c r="H13" s="3" t="n"/>
    </row>
    <row r="14">
      <c r="A14" s="1" t="n">
        <v>13</v>
      </c>
      <c r="B14" s="1" t="inlineStr">
        <is>
          <t>A.8.1.1</t>
        </is>
      </c>
      <c r="C14" s="1" t="inlineStr">
        <is>
          <t>Un inventaire complet des actifs informationnels existe</t>
        </is>
      </c>
      <c r="D14" s="4" t="inlineStr">
        <is>
          <t>Oui</t>
        </is>
      </c>
      <c r="E14" s="2" t="n"/>
      <c r="F14" s="2" t="n"/>
      <c r="G14" s="3" t="n"/>
      <c r="H14" s="3" t="n"/>
    </row>
    <row r="15">
      <c r="A15" s="1" t="n">
        <v>14</v>
      </c>
      <c r="B15" s="1" t="inlineStr">
        <is>
          <t>A.8.1.2</t>
        </is>
      </c>
      <c r="C15" s="1" t="inlineStr">
        <is>
          <t>Les responsables d'actifs sont assignés et documentés</t>
        </is>
      </c>
      <c r="D15" s="4" t="inlineStr">
        <is>
          <t>Oui</t>
        </is>
      </c>
      <c r="E15" s="2" t="n"/>
      <c r="F15" s="2" t="n"/>
      <c r="G15" s="3" t="n"/>
      <c r="H15" s="3" t="n"/>
    </row>
    <row r="16">
      <c r="A16" s="1" t="n">
        <v>15</v>
      </c>
      <c r="B16" s="1" t="inlineStr">
        <is>
          <t>A.8.2.1</t>
        </is>
      </c>
      <c r="C16" s="1" t="inlineStr">
        <is>
          <t>Une classification des données est définie (Public/Interne/Confidentiel/Secret)</t>
        </is>
      </c>
      <c r="D16" s="4" t="inlineStr">
        <is>
          <t>Oui</t>
        </is>
      </c>
      <c r="E16" s="2" t="n"/>
      <c r="F16" s="2" t="n"/>
      <c r="G16" s="3" t="n"/>
      <c r="H16" s="3" t="n"/>
    </row>
    <row r="17">
      <c r="A17" s="1" t="n">
        <v>16</v>
      </c>
      <c r="B17" s="1" t="inlineStr">
        <is>
          <t>A.8.2.2</t>
        </is>
      </c>
      <c r="C17" s="1" t="inlineStr">
        <is>
          <t>Les données sont étiquetées selon leur classification</t>
        </is>
      </c>
      <c r="D17" s="4" t="inlineStr">
        <is>
          <t>Oui</t>
        </is>
      </c>
      <c r="E17" s="2" t="n"/>
      <c r="F17" s="2" t="n"/>
      <c r="G17" s="3" t="n"/>
      <c r="H17" s="3" t="n"/>
    </row>
    <row r="18">
      <c r="A18" s="1" t="n">
        <v>17</v>
      </c>
      <c r="B18" s="1" t="inlineStr">
        <is>
          <t>A.8.3.1</t>
        </is>
      </c>
      <c r="C18" s="1" t="inlineStr">
        <is>
          <t>Les supports amovibles (USB, disques) sont contrôlés</t>
        </is>
      </c>
      <c r="D18" s="4" t="inlineStr">
        <is>
          <t>Oui</t>
        </is>
      </c>
      <c r="E18" s="2" t="n"/>
      <c r="F18" s="2" t="n"/>
      <c r="G18" s="3" t="n"/>
      <c r="H18" s="3" t="n"/>
    </row>
    <row r="19">
      <c r="A19" s="1" t="n">
        <v>18</v>
      </c>
      <c r="B19" s="1" t="inlineStr">
        <is>
          <t>A.8.3.2</t>
        </is>
      </c>
      <c r="C19" s="1" t="inlineStr">
        <is>
          <t>L'utilisation de supports est documentée et justifiée</t>
        </is>
      </c>
      <c r="D19" s="4" t="inlineStr">
        <is>
          <t>Oui</t>
        </is>
      </c>
      <c r="E19" s="2" t="n"/>
      <c r="F19" s="2" t="n"/>
      <c r="G19" s="3" t="n"/>
      <c r="H19" s="3" t="n"/>
    </row>
    <row r="20">
      <c r="A20" s="1" t="n">
        <v>19</v>
      </c>
      <c r="B20" s="1" t="inlineStr">
        <is>
          <t>A.9.1.1</t>
        </is>
      </c>
      <c r="C20" s="1" t="inlineStr">
        <is>
          <t>Une politique de contrôle d'accès est documentée</t>
        </is>
      </c>
      <c r="D20" s="4" t="inlineStr">
        <is>
          <t>Oui</t>
        </is>
      </c>
      <c r="E20" s="2" t="n"/>
      <c r="F20" s="2" t="n"/>
      <c r="G20" s="3" t="n"/>
      <c r="H20" s="3" t="n"/>
    </row>
    <row r="21">
      <c r="A21" s="1" t="n">
        <v>20</v>
      </c>
      <c r="B21" s="1" t="inlineStr">
        <is>
          <t>A.9.2.1</t>
        </is>
      </c>
      <c r="C21" s="1" t="inlineStr">
        <is>
          <t>L'accès est accordé basé sur le principe du moindre privilège</t>
        </is>
      </c>
      <c r="D21" s="4" t="inlineStr">
        <is>
          <t>Oui</t>
        </is>
      </c>
      <c r="E21" s="2" t="n"/>
      <c r="F21" s="2" t="n"/>
      <c r="G21" s="3" t="n"/>
      <c r="H21" s="3" t="n"/>
    </row>
    <row r="22">
      <c r="A22" s="1" t="n">
        <v>21</v>
      </c>
      <c r="B22" s="1" t="inlineStr">
        <is>
          <t>A.9.2.2</t>
        </is>
      </c>
      <c r="C22" s="1" t="inlineStr">
        <is>
          <t>Un processus de demande d'accès formalisé existe</t>
        </is>
      </c>
      <c r="D22" s="4" t="inlineStr">
        <is>
          <t>Oui</t>
        </is>
      </c>
      <c r="E22" s="2" t="n"/>
      <c r="F22" s="2" t="n"/>
      <c r="G22" s="3" t="n"/>
      <c r="H22" s="3" t="n"/>
    </row>
    <row r="23">
      <c r="A23" s="1" t="n">
        <v>22</v>
      </c>
      <c r="B23" s="1" t="inlineStr">
        <is>
          <t>A.9.3.1</t>
        </is>
      </c>
      <c r="C23" s="1" t="inlineStr">
        <is>
          <t>Les droits d'accès sont revisités trimestriellement</t>
        </is>
      </c>
      <c r="D23" s="8" t="inlineStr">
        <is>
          <t>/</t>
        </is>
      </c>
      <c r="E23" s="2" t="n"/>
      <c r="F23" s="8" t="inlineStr">
        <is>
          <t>Oui</t>
        </is>
      </c>
      <c r="G23" s="3" t="n"/>
      <c r="H23" s="3" t="n"/>
    </row>
    <row r="24">
      <c r="A24" s="1" t="n">
        <v>23</v>
      </c>
      <c r="B24" s="1" t="inlineStr">
        <is>
          <t>A.9.3.2</t>
        </is>
      </c>
      <c r="C24" s="1" t="inlineStr">
        <is>
          <t>Les accès inactifs (&gt; 90 jours) sont supprimés</t>
        </is>
      </c>
      <c r="D24" s="4" t="inlineStr">
        <is>
          <t>Oui</t>
        </is>
      </c>
      <c r="E24" s="2" t="n"/>
      <c r="F24" s="2" t="n"/>
      <c r="G24" s="3" t="n"/>
      <c r="H24" s="3" t="n"/>
    </row>
    <row r="25">
      <c r="A25" s="1" t="n">
        <v>24</v>
      </c>
      <c r="B25" s="1" t="inlineStr">
        <is>
          <t>A.9.4.1</t>
        </is>
      </c>
      <c r="C25" s="1" t="inlineStr">
        <is>
          <t>MFA est déployée pour tous les accès critiques</t>
        </is>
      </c>
      <c r="D25" s="4" t="inlineStr">
        <is>
          <t>Oui</t>
        </is>
      </c>
      <c r="E25" s="2" t="n"/>
      <c r="F25" s="2" t="n"/>
      <c r="G25" s="3" t="n"/>
      <c r="H25" s="3" t="n"/>
    </row>
    <row r="26">
      <c r="A26" s="1" t="n">
        <v>25</v>
      </c>
      <c r="B26" s="1" t="inlineStr">
        <is>
          <t>A.9.4.2</t>
        </is>
      </c>
      <c r="C26" s="1" t="inlineStr">
        <is>
          <t>MFA couvre : ERP, BD, données clients, email</t>
        </is>
      </c>
      <c r="D26" s="4" t="inlineStr">
        <is>
          <t>Oui</t>
        </is>
      </c>
      <c r="E26" s="2" t="n"/>
      <c r="F26" s="2" t="n"/>
      <c r="G26" s="3" t="n"/>
      <c r="H26" s="3" t="n"/>
    </row>
    <row r="27">
      <c r="A27" s="1" t="n">
        <v>26</v>
      </c>
      <c r="B27" s="1" t="inlineStr">
        <is>
          <t>A.9.5.1</t>
        </is>
      </c>
      <c r="C27" s="1" t="inlineStr">
        <is>
          <t>Une politique de mots de passe est en place (min 12 car, complexité)</t>
        </is>
      </c>
      <c r="D27" s="4" t="inlineStr">
        <is>
          <t>Oui</t>
        </is>
      </c>
      <c r="E27" s="2" t="n"/>
      <c r="F27" s="2" t="n"/>
      <c r="G27" s="3" t="n"/>
      <c r="H27" s="3" t="n"/>
    </row>
    <row r="28">
      <c r="A28" s="1" t="n">
        <v>27</v>
      </c>
      <c r="B28" s="1" t="inlineStr">
        <is>
          <t>A.9.5.2</t>
        </is>
      </c>
      <c r="C28" s="1" t="inlineStr">
        <is>
          <t>Les mots de passe sont changés tous les 90 jours</t>
        </is>
      </c>
      <c r="D28" s="4" t="inlineStr">
        <is>
          <t>Oui</t>
        </is>
      </c>
      <c r="E28" s="2" t="n"/>
      <c r="F28" s="2" t="n"/>
      <c r="G28" s="3" t="n"/>
      <c r="H28" s="3" t="n"/>
    </row>
    <row r="29">
      <c r="A29" s="1" t="n">
        <v>28</v>
      </c>
      <c r="B29" s="1" t="inlineStr">
        <is>
          <t>A.10.1.1</t>
        </is>
      </c>
      <c r="C29" s="1" t="inlineStr">
        <is>
          <t>Les éléments cryptographiques utilisés sont documentés</t>
        </is>
      </c>
      <c r="D29" s="8" t="inlineStr">
        <is>
          <t>/</t>
        </is>
      </c>
      <c r="E29" s="8" t="inlineStr">
        <is>
          <t>/</t>
        </is>
      </c>
      <c r="F29" s="8" t="inlineStr">
        <is>
          <t>Oui</t>
        </is>
      </c>
      <c r="G29" s="3" t="n"/>
      <c r="H29" s="3" t="n"/>
    </row>
    <row r="30">
      <c r="A30" s="1" t="n">
        <v>29</v>
      </c>
      <c r="B30" s="1" t="inlineStr">
        <is>
          <t>A.10.2.1</t>
        </is>
      </c>
      <c r="C30" s="1" t="inlineStr">
        <is>
          <t>La gestion des clés cryptographiques suit ISO 27001:2022</t>
        </is>
      </c>
      <c r="D30" s="4" t="inlineStr">
        <is>
          <t>Oui</t>
        </is>
      </c>
      <c r="E30" s="8" t="inlineStr">
        <is>
          <t>/</t>
        </is>
      </c>
      <c r="F30" s="8" t="inlineStr">
        <is>
          <t>/</t>
        </is>
      </c>
      <c r="G30" s="3" t="n"/>
      <c r="H30" s="3" t="n"/>
    </row>
    <row r="31">
      <c r="A31" s="1" t="n">
        <v>30</v>
      </c>
      <c r="B31" s="1" t="inlineStr">
        <is>
          <t>A.10.3.1</t>
        </is>
      </c>
      <c r="C31" s="1" t="inlineStr">
        <is>
          <t>Les données en transit sont chiffrées (TLS 1.2+ minimum)</t>
        </is>
      </c>
      <c r="D31" s="8" t="inlineStr">
        <is>
          <t>/</t>
        </is>
      </c>
      <c r="E31" s="8" t="inlineStr">
        <is>
          <t>/</t>
        </is>
      </c>
      <c r="F31" s="8" t="inlineStr">
        <is>
          <t>Oui</t>
        </is>
      </c>
      <c r="G31" s="3" t="n"/>
      <c r="H31" s="3" t="n"/>
    </row>
    <row r="32">
      <c r="A32" s="1" t="n">
        <v>31</v>
      </c>
      <c r="B32" s="1" t="inlineStr">
        <is>
          <t>A.10.3.2</t>
        </is>
      </c>
      <c r="C32" s="1" t="inlineStr">
        <is>
          <t>Les certificats SSL/TLS sont valides et non expirés</t>
        </is>
      </c>
      <c r="D32" s="8" t="inlineStr">
        <is>
          <t>/</t>
        </is>
      </c>
      <c r="E32" s="8" t="inlineStr">
        <is>
          <t>/</t>
        </is>
      </c>
      <c r="F32" s="8" t="inlineStr">
        <is>
          <t>oui</t>
        </is>
      </c>
      <c r="G32" s="3" t="n"/>
      <c r="H32" s="3" t="n"/>
    </row>
    <row r="33">
      <c r="A33" s="1" t="n">
        <v>32</v>
      </c>
      <c r="B33" s="1" t="inlineStr">
        <is>
          <t>A.11.1.1</t>
        </is>
      </c>
      <c r="C33" s="1" t="inlineStr">
        <is>
          <t>L'accès physique au datacenter est contrôlé (badge)</t>
        </is>
      </c>
      <c r="D33" s="4" t="inlineStr">
        <is>
          <t>Oui</t>
        </is>
      </c>
      <c r="E33" s="8" t="inlineStr">
        <is>
          <t>/</t>
        </is>
      </c>
      <c r="F33" s="8" t="inlineStr">
        <is>
          <t>/</t>
        </is>
      </c>
      <c r="G33" s="3" t="n"/>
      <c r="H33" s="3" t="n"/>
    </row>
    <row r="34">
      <c r="A34" s="1" t="n">
        <v>33</v>
      </c>
      <c r="B34" s="1" t="inlineStr">
        <is>
          <t>A.11.1.2</t>
        </is>
      </c>
      <c r="C34" s="1" t="inlineStr">
        <is>
          <t>Un log d'accès physique est maintenu</t>
        </is>
      </c>
      <c r="D34" s="4" t="inlineStr">
        <is>
          <t>Oui</t>
        </is>
      </c>
      <c r="E34" s="8" t="inlineStr">
        <is>
          <t>/</t>
        </is>
      </c>
      <c r="F34" s="8" t="inlineStr">
        <is>
          <t>/</t>
        </is>
      </c>
      <c r="G34" s="3" t="n"/>
      <c r="H34" s="3" t="n"/>
    </row>
    <row r="35">
      <c r="A35" s="1" t="n">
        <v>34</v>
      </c>
      <c r="B35" s="1" t="inlineStr">
        <is>
          <t>A.11.2.1</t>
        </is>
      </c>
      <c r="C35" s="1" t="inlineStr">
        <is>
          <t>La surveillance physique (caméras) couvre zones critiques</t>
        </is>
      </c>
      <c r="D35" s="4" t="inlineStr">
        <is>
          <t>Oui</t>
        </is>
      </c>
      <c r="E35" s="8" t="inlineStr">
        <is>
          <t>/</t>
        </is>
      </c>
      <c r="F35" s="8" t="inlineStr">
        <is>
          <t>/</t>
        </is>
      </c>
      <c r="G35" s="3" t="n"/>
      <c r="H35" s="3" t="n"/>
    </row>
    <row r="36">
      <c r="A36" s="1" t="n">
        <v>35</v>
      </c>
      <c r="B36" s="1" t="inlineStr">
        <is>
          <t>A.11.3.1</t>
        </is>
      </c>
      <c r="C36" s="1" t="inlineStr">
        <is>
          <t>Les équipements hors-service sont nettoyés (wipe)</t>
        </is>
      </c>
      <c r="D36" s="4" t="inlineStr">
        <is>
          <t>Oui</t>
        </is>
      </c>
      <c r="E36" s="8" t="inlineStr">
        <is>
          <t>/</t>
        </is>
      </c>
      <c r="F36" s="8" t="inlineStr">
        <is>
          <t>/</t>
        </is>
      </c>
      <c r="G36" s="3" t="n"/>
      <c r="H36" s="3" t="n"/>
    </row>
    <row r="37">
      <c r="A37" s="1" t="n">
        <v>36</v>
      </c>
      <c r="B37" s="1" t="inlineStr">
        <is>
          <t>A.11.3.2</t>
        </is>
      </c>
      <c r="C37" s="1" t="inlineStr">
        <is>
          <t>Les supports détruits reçoivent un certificat de destruction</t>
        </is>
      </c>
      <c r="D37" s="4" t="inlineStr">
        <is>
          <t>Oui</t>
        </is>
      </c>
      <c r="E37" s="8" t="inlineStr">
        <is>
          <t>/</t>
        </is>
      </c>
      <c r="F37" s="8" t="inlineStr">
        <is>
          <t>/</t>
        </is>
      </c>
      <c r="G37" s="3" t="n"/>
      <c r="H37" s="3" t="n"/>
    </row>
    <row r="38">
      <c r="A38" s="1" t="n">
        <v>37</v>
      </c>
      <c r="B38" s="1" t="inlineStr">
        <is>
          <t>A.12.1.1</t>
        </is>
      </c>
      <c r="C38" s="1" t="inlineStr">
        <is>
          <t>Une architecture réseau est documentée</t>
        </is>
      </c>
      <c r="D38" s="4" t="inlineStr">
        <is>
          <t>Oui</t>
        </is>
      </c>
      <c r="E38" s="8" t="inlineStr">
        <is>
          <t>/</t>
        </is>
      </c>
      <c r="F38" s="8" t="inlineStr">
        <is>
          <t>/</t>
        </is>
      </c>
      <c r="G38" s="3" t="n"/>
      <c r="H38" s="3" t="n"/>
    </row>
    <row r="39">
      <c r="A39" s="1" t="n">
        <v>38</v>
      </c>
      <c r="B39" s="1" t="inlineStr">
        <is>
          <t>A.12.2.1</t>
        </is>
      </c>
      <c r="C39" s="1" t="inlineStr">
        <is>
          <t>Pare-feu et filtrage en place (inbound/outbound)</t>
        </is>
      </c>
      <c r="D39" s="4" t="inlineStr">
        <is>
          <t>Oui</t>
        </is>
      </c>
      <c r="E39" s="8" t="inlineStr">
        <is>
          <t>/</t>
        </is>
      </c>
      <c r="F39" s="8" t="inlineStr">
        <is>
          <t>/</t>
        </is>
      </c>
      <c r="G39" s="3" t="n"/>
      <c r="H39" s="3" t="n"/>
    </row>
    <row r="40">
      <c r="A40" s="1" t="n">
        <v>39</v>
      </c>
      <c r="B40" s="1" t="inlineStr">
        <is>
          <t>A.12.3.1</t>
        </is>
      </c>
      <c r="C40" s="1" t="inlineStr">
        <is>
          <t>IDS/IPS ou équivalent est déployé</t>
        </is>
      </c>
      <c r="D40" s="4" t="inlineStr">
        <is>
          <t>Oui</t>
        </is>
      </c>
      <c r="E40" s="8" t="inlineStr">
        <is>
          <t>/</t>
        </is>
      </c>
      <c r="F40" s="8" t="inlineStr">
        <is>
          <t>/</t>
        </is>
      </c>
      <c r="G40" s="3" t="n"/>
      <c r="H40" s="3" t="n"/>
    </row>
    <row r="41">
      <c r="A41" s="1" t="n">
        <v>40</v>
      </c>
      <c r="B41" s="1" t="inlineStr">
        <is>
          <t>A.12.4.1</t>
        </is>
      </c>
      <c r="C41" s="1" t="inlineStr">
        <is>
          <t>Les domaines publics/privés sont séparés</t>
        </is>
      </c>
      <c r="D41" s="4" t="inlineStr">
        <is>
          <t>Oui</t>
        </is>
      </c>
      <c r="E41" s="8" t="inlineStr">
        <is>
          <t>/</t>
        </is>
      </c>
      <c r="F41" s="8" t="inlineStr">
        <is>
          <t>/</t>
        </is>
      </c>
      <c r="G41" s="3" t="n"/>
      <c r="H41" s="3" t="n"/>
    </row>
    <row r="42">
      <c r="A42" s="1" t="n">
        <v>41</v>
      </c>
      <c r="B42" s="1" t="inlineStr">
        <is>
          <t>A.13.1.1</t>
        </is>
      </c>
      <c r="C42" s="1" t="inlineStr">
        <is>
          <t>Sauvegardes complètes sont effectuées régulièrement</t>
        </is>
      </c>
      <c r="D42" s="4" t="inlineStr">
        <is>
          <t>Oui</t>
        </is>
      </c>
      <c r="E42" s="8" t="inlineStr">
        <is>
          <t>/</t>
        </is>
      </c>
      <c r="F42" s="8" t="inlineStr">
        <is>
          <t>/</t>
        </is>
      </c>
      <c r="G42" s="3" t="n"/>
      <c r="H42" s="3" t="n"/>
    </row>
    <row r="43">
      <c r="A43" s="1" t="n">
        <v>42</v>
      </c>
      <c r="B43" s="1" t="inlineStr">
        <is>
          <t>A.13.1.2</t>
        </is>
      </c>
      <c r="C43" s="1" t="inlineStr">
        <is>
          <t>Les sauvegardes sont testées (restore test) mensuellement</t>
        </is>
      </c>
      <c r="D43" s="4" t="inlineStr">
        <is>
          <t>Oui</t>
        </is>
      </c>
      <c r="E43" s="8" t="inlineStr">
        <is>
          <t>/</t>
        </is>
      </c>
      <c r="F43" s="8" t="inlineStr">
        <is>
          <t>/</t>
        </is>
      </c>
      <c r="G43" s="3" t="n"/>
      <c r="H43" s="3" t="n"/>
    </row>
    <row r="44">
      <c r="A44" s="1" t="n">
        <v>43</v>
      </c>
      <c r="B44" s="1" t="inlineStr">
        <is>
          <t>A.13.2.1</t>
        </is>
      </c>
      <c r="C44" s="1" t="inlineStr">
        <is>
          <t>RTO/RPO sont définis pour systèmes critiques</t>
        </is>
      </c>
      <c r="D44" s="4" t="inlineStr">
        <is>
          <t>Oui</t>
        </is>
      </c>
      <c r="E44" s="8" t="inlineStr">
        <is>
          <t>/</t>
        </is>
      </c>
      <c r="F44" s="8" t="inlineStr">
        <is>
          <t>/</t>
        </is>
      </c>
      <c r="G44" s="3" t="n"/>
      <c r="H44" s="3" t="n"/>
    </row>
    <row r="45">
      <c r="A45" s="1" t="n">
        <v>44</v>
      </c>
      <c r="B45" s="1" t="inlineStr">
        <is>
          <t>A.13.2.2</t>
        </is>
      </c>
      <c r="C45" s="1" t="inlineStr">
        <is>
          <t>Un plan de continuité métier est documenté et testé</t>
        </is>
      </c>
      <c r="D45" s="4" t="inlineStr">
        <is>
          <t>Oui</t>
        </is>
      </c>
      <c r="E45" s="8" t="inlineStr">
        <is>
          <t>/</t>
        </is>
      </c>
      <c r="F45" s="8" t="inlineStr">
        <is>
          <t>/</t>
        </is>
      </c>
      <c r="G45" s="3" t="n"/>
      <c r="H45" s="3" t="n"/>
    </row>
    <row r="46">
      <c r="A46" s="1" t="n">
        <v>45</v>
      </c>
      <c r="B46" s="1" t="inlineStr">
        <is>
          <t>A.13.3.1</t>
        </is>
      </c>
      <c r="C46" s="1" t="inlineStr">
        <is>
          <t>Les composants critiques sont redondants</t>
        </is>
      </c>
      <c r="D46" s="4" t="inlineStr">
        <is>
          <t>Oui</t>
        </is>
      </c>
      <c r="E46" s="8" t="inlineStr">
        <is>
          <t>/</t>
        </is>
      </c>
      <c r="F46" s="8" t="inlineStr">
        <is>
          <t>/</t>
        </is>
      </c>
      <c r="G46" s="3" t="n"/>
      <c r="H46" s="3" t="n"/>
    </row>
    <row r="47">
      <c r="A47" s="1" t="n">
        <v>46</v>
      </c>
      <c r="B47" s="1" t="inlineStr">
        <is>
          <t>A.13.4.1</t>
        </is>
      </c>
      <c r="C47" s="1" t="inlineStr">
        <is>
          <t>Un référentiel de configuration existe (Ansible, Terraform)</t>
        </is>
      </c>
      <c r="D47" s="4" t="inlineStr">
        <is>
          <t>Oui</t>
        </is>
      </c>
      <c r="E47" s="8" t="inlineStr">
        <is>
          <t>/</t>
        </is>
      </c>
      <c r="F47" s="8" t="inlineStr">
        <is>
          <t>/</t>
        </is>
      </c>
      <c r="G47" s="3" t="n"/>
      <c r="H47" s="3" t="n"/>
    </row>
    <row r="48">
      <c r="A48" s="1" t="n">
        <v>47</v>
      </c>
      <c r="B48" s="1" t="inlineStr">
        <is>
          <t>A.13.5.1</t>
        </is>
      </c>
      <c r="C48" s="1" t="inlineStr">
        <is>
          <t>Les données supprimées ne sont pas récupérables</t>
        </is>
      </c>
      <c r="D48" s="4" t="inlineStr">
        <is>
          <t>Oui</t>
        </is>
      </c>
      <c r="E48" s="8" t="inlineStr">
        <is>
          <t>/</t>
        </is>
      </c>
      <c r="F48" s="8" t="inlineStr">
        <is>
          <t>/</t>
        </is>
      </c>
      <c r="G48" s="3" t="n"/>
      <c r="H48" s="3" t="n"/>
    </row>
    <row r="49">
      <c r="A49" s="1" t="n">
        <v>48</v>
      </c>
      <c r="B49" s="1" t="inlineStr">
        <is>
          <t>A.14.1.1</t>
        </is>
      </c>
      <c r="C49" s="1" t="inlineStr">
        <is>
          <t>Environnements dev/test/prod sont séparés</t>
        </is>
      </c>
      <c r="D49" s="4" t="inlineStr">
        <is>
          <t>Oui</t>
        </is>
      </c>
      <c r="E49" s="8" t="inlineStr">
        <is>
          <t>/</t>
        </is>
      </c>
      <c r="F49" s="8" t="inlineStr">
        <is>
          <t>/</t>
        </is>
      </c>
      <c r="G49" s="3" t="n"/>
      <c r="H49" s="3" t="n"/>
    </row>
    <row r="50">
      <c r="A50" s="1" t="n">
        <v>49</v>
      </c>
      <c r="B50" s="1" t="inlineStr">
        <is>
          <t>A.14.2.1</t>
        </is>
      </c>
      <c r="C50" s="1" t="inlineStr">
        <is>
          <t>Tous les changements suivent un processus CAB formalisé</t>
        </is>
      </c>
      <c r="D50" s="4" t="inlineStr">
        <is>
          <t>Oui</t>
        </is>
      </c>
      <c r="E50" s="8" t="inlineStr">
        <is>
          <t>/</t>
        </is>
      </c>
      <c r="F50" s="8" t="inlineStr">
        <is>
          <t>/</t>
        </is>
      </c>
      <c r="G50" s="3" t="n"/>
      <c r="H50" s="3" t="n"/>
    </row>
    <row r="51">
      <c r="A51" s="1" t="n">
        <v>50</v>
      </c>
      <c r="B51" s="1" t="inlineStr">
        <is>
          <t>A.14.3.1</t>
        </is>
      </c>
      <c r="C51" s="1" t="inlineStr">
        <is>
          <t>Code review est obligatoire avant merge (GitHub, GitLab)</t>
        </is>
      </c>
      <c r="D51" s="4" t="inlineStr">
        <is>
          <t>Oui</t>
        </is>
      </c>
      <c r="E51" s="8" t="inlineStr">
        <is>
          <t>/</t>
        </is>
      </c>
      <c r="F51" s="8" t="inlineStr">
        <is>
          <t>/</t>
        </is>
      </c>
      <c r="G51" s="3" t="n"/>
      <c r="H51" s="3" t="n"/>
    </row>
    <row r="52">
      <c r="A52" s="1" t="n">
        <v>51</v>
      </c>
      <c r="B52" s="1" t="inlineStr">
        <is>
          <t>A.14.4.1</t>
        </is>
      </c>
      <c r="C52" s="1" t="inlineStr">
        <is>
          <t>Données sensibles ne sont pas dans les dépôts (secrets scanning)</t>
        </is>
      </c>
      <c r="D52" s="4" t="inlineStr">
        <is>
          <t>Oui</t>
        </is>
      </c>
      <c r="E52" s="8" t="inlineStr">
        <is>
          <t>/</t>
        </is>
      </c>
      <c r="F52" s="8" t="inlineStr">
        <is>
          <t>/</t>
        </is>
      </c>
      <c r="G52" s="3" t="n"/>
      <c r="H52" s="3" t="n"/>
    </row>
    <row r="53">
      <c r="A53" s="1" t="n">
        <v>52</v>
      </c>
      <c r="B53" s="1" t="inlineStr">
        <is>
          <t>A.14.5.1</t>
        </is>
      </c>
      <c r="C53" s="1" t="inlineStr">
        <is>
          <t>Tests de sécurité (SAST, DAST) sont effectués</t>
        </is>
      </c>
      <c r="D53" s="4" t="inlineStr">
        <is>
          <t>Oui</t>
        </is>
      </c>
      <c r="E53" s="8" t="inlineStr">
        <is>
          <t>/</t>
        </is>
      </c>
      <c r="F53" s="8" t="inlineStr">
        <is>
          <t>/</t>
        </is>
      </c>
      <c r="G53" s="3" t="n"/>
      <c r="H53" s="3" t="n"/>
    </row>
    <row r="54">
      <c r="A54" s="1" t="n">
        <v>53</v>
      </c>
      <c r="B54" s="1" t="inlineStr">
        <is>
          <t>A.16.1.1</t>
        </is>
      </c>
      <c r="C54" s="1" t="inlineStr">
        <is>
          <t>Un processus de signalement d'incident est documenté</t>
        </is>
      </c>
      <c r="D54" s="4" t="inlineStr">
        <is>
          <t>Oui</t>
        </is>
      </c>
      <c r="E54" s="8" t="inlineStr">
        <is>
          <t>/</t>
        </is>
      </c>
      <c r="F54" s="8" t="inlineStr">
        <is>
          <t>/</t>
        </is>
      </c>
      <c r="G54" s="3" t="n"/>
      <c r="H54" s="3" t="n"/>
    </row>
    <row r="55">
      <c r="A55" s="1" t="n">
        <v>54</v>
      </c>
      <c r="B55" s="1" t="inlineStr">
        <is>
          <t>A.16.1.2</t>
        </is>
      </c>
      <c r="C55" s="1" t="inlineStr">
        <is>
          <t>Un point de contact 24/7 pour incidents existe</t>
        </is>
      </c>
      <c r="D55" s="4" t="inlineStr">
        <is>
          <t>Oui</t>
        </is>
      </c>
      <c r="E55" s="8" t="inlineStr">
        <is>
          <t>/</t>
        </is>
      </c>
      <c r="F55" s="8" t="inlineStr">
        <is>
          <t>/</t>
        </is>
      </c>
      <c r="G55" s="3" t="n"/>
      <c r="H55" s="3" t="n"/>
    </row>
    <row r="56">
      <c r="A56" s="1" t="n">
        <v>55</v>
      </c>
      <c r="B56" s="1" t="inlineStr">
        <is>
          <t>A.16.2.1</t>
        </is>
      </c>
      <c r="C56" s="1" t="inlineStr">
        <is>
          <t>Incidents sont investigués et documentés</t>
        </is>
      </c>
      <c r="D56" s="4" t="inlineStr">
        <is>
          <t>Oui</t>
        </is>
      </c>
      <c r="E56" s="8" t="inlineStr">
        <is>
          <t>/</t>
        </is>
      </c>
      <c r="F56" s="8" t="inlineStr">
        <is>
          <t>/</t>
        </is>
      </c>
      <c r="G56" s="3" t="n"/>
      <c r="H56" s="3" t="n"/>
    </row>
    <row r="57">
      <c r="A57" s="1" t="n">
        <v>56</v>
      </c>
      <c r="B57" s="1" t="inlineStr">
        <is>
          <t>A.16.2.2</t>
        </is>
      </c>
      <c r="C57" s="1" t="inlineStr">
        <is>
          <t>MTTR (Mean Time To Resolve) est suivi</t>
        </is>
      </c>
      <c r="D57" s="4" t="inlineStr">
        <is>
          <t>Oui</t>
        </is>
      </c>
      <c r="E57" s="8" t="inlineStr">
        <is>
          <t>/</t>
        </is>
      </c>
      <c r="F57" s="8" t="inlineStr">
        <is>
          <t>/</t>
        </is>
      </c>
      <c r="G57" s="3" t="n"/>
      <c r="H57" s="3" t="n"/>
    </row>
    <row r="58">
      <c r="A58" s="1" t="n">
        <v>57</v>
      </c>
      <c r="B58" s="1" t="inlineStr">
        <is>
          <t>A.16.3.1</t>
        </is>
      </c>
      <c r="C58" s="1" t="inlineStr">
        <is>
          <t>Amélioration post-incident (lessons learned) est effectuée</t>
        </is>
      </c>
      <c r="D58" s="4" t="inlineStr">
        <is>
          <t>Oui</t>
        </is>
      </c>
      <c r="E58" s="8" t="inlineStr">
        <is>
          <t>/</t>
        </is>
      </c>
      <c r="F58" s="8" t="inlineStr">
        <is>
          <t>/</t>
        </is>
      </c>
      <c r="G58" s="3" t="n"/>
      <c r="H58" s="3" t="n"/>
    </row>
    <row r="59">
      <c r="A59" s="1" t="n">
        <v>58</v>
      </c>
      <c r="B59" s="1" t="inlineStr">
        <is>
          <t>A.18.1.1</t>
        </is>
      </c>
      <c r="C59" s="1" t="inlineStr">
        <is>
          <t>Obligations légales/contractuelles sont inventoriées</t>
        </is>
      </c>
      <c r="D59" s="4" t="inlineStr">
        <is>
          <t>Oui</t>
        </is>
      </c>
      <c r="E59" s="8" t="inlineStr">
        <is>
          <t>/</t>
        </is>
      </c>
      <c r="F59" s="8" t="inlineStr">
        <is>
          <t>/</t>
        </is>
      </c>
      <c r="G59" s="3" t="n"/>
      <c r="H59" s="3" t="n"/>
    </row>
    <row r="60">
      <c r="A60" s="1" t="n">
        <v>59</v>
      </c>
      <c r="B60" s="1" t="inlineStr">
        <is>
          <t>A.18.2.1</t>
        </is>
      </c>
      <c r="C60" s="1" t="inlineStr">
        <is>
          <t>Audit interne ISO 27001 est mené annuellement</t>
        </is>
      </c>
      <c r="D60" s="4" t="inlineStr">
        <is>
          <t>Oui</t>
        </is>
      </c>
      <c r="E60" s="8" t="inlineStr">
        <is>
          <t>/</t>
        </is>
      </c>
      <c r="F60" s="8" t="inlineStr">
        <is>
          <t>/</t>
        </is>
      </c>
      <c r="G60" s="3" t="n"/>
      <c r="H60" s="3" t="n"/>
    </row>
    <row r="61">
      <c r="A61" s="1" t="n">
        <v>60</v>
      </c>
      <c r="B61" s="1" t="inlineStr">
        <is>
          <t>A.18.2.2</t>
        </is>
      </c>
      <c r="C61" s="1" t="inlineStr">
        <is>
          <t>Écarts identifiés ont un plan de correction</t>
        </is>
      </c>
      <c r="D61" s="4" t="inlineStr">
        <is>
          <t>Oui</t>
        </is>
      </c>
      <c r="E61" s="8" t="inlineStr">
        <is>
          <t>/</t>
        </is>
      </c>
      <c r="F61" s="8" t="inlineStr">
        <is>
          <t>/</t>
        </is>
      </c>
      <c r="G61" s="3" t="n"/>
      <c r="H61" s="3" t="n"/>
    </row>
    <row r="62">
      <c r="A62" s="1" t="n">
        <v>61</v>
      </c>
      <c r="B62" s="1" t="inlineStr">
        <is>
          <t>A.5.1.3</t>
        </is>
      </c>
      <c r="C62" s="1" t="inlineStr">
        <is>
          <t>Engagements ISO 27001 sont communiqués dans politique</t>
        </is>
      </c>
      <c r="D62" s="4" t="inlineStr">
        <is>
          <t>Oui</t>
        </is>
      </c>
      <c r="E62" s="8" t="inlineStr">
        <is>
          <t>/</t>
        </is>
      </c>
      <c r="F62" s="8" t="inlineStr">
        <is>
          <t>/</t>
        </is>
      </c>
      <c r="G62" s="3" t="n"/>
      <c r="H62" s="3" t="n"/>
    </row>
    <row r="63">
      <c r="A63" s="1" t="n">
        <v>62</v>
      </c>
      <c r="B63" s="1" t="inlineStr">
        <is>
          <t>A.5.2.3</t>
        </is>
      </c>
      <c r="C63" s="1" t="inlineStr">
        <is>
          <t>Rapports SMSI remontés à la direction trimestriellement</t>
        </is>
      </c>
      <c r="D63" s="4" t="inlineStr">
        <is>
          <t>Oui</t>
        </is>
      </c>
      <c r="E63" s="8" t="inlineStr">
        <is>
          <t>/</t>
        </is>
      </c>
      <c r="F63" s="8" t="inlineStr">
        <is>
          <t>/</t>
        </is>
      </c>
      <c r="G63" s="3" t="n"/>
      <c r="H63" s="3" t="n"/>
    </row>
    <row r="64">
      <c r="A64" s="1" t="n">
        <v>63</v>
      </c>
      <c r="B64" s="1" t="inlineStr">
        <is>
          <t>A.6.1.2</t>
        </is>
      </c>
      <c r="C64" s="1" t="inlineStr">
        <is>
          <t>Besoins informations de parties prenantes documentés</t>
        </is>
      </c>
      <c r="D64" s="8" t="inlineStr">
        <is>
          <t>Oui</t>
        </is>
      </c>
      <c r="E64" s="8" t="inlineStr">
        <is>
          <t>/</t>
        </is>
      </c>
      <c r="F64" s="8" t="inlineStr">
        <is>
          <t>/</t>
        </is>
      </c>
      <c r="G64" s="3" t="n"/>
      <c r="H64" s="3" t="n"/>
    </row>
    <row r="65">
      <c r="A65" s="1" t="n">
        <v>64</v>
      </c>
      <c r="B65" s="1" t="inlineStr">
        <is>
          <t>A.6.2.4</t>
        </is>
      </c>
      <c r="C65" s="1" t="inlineStr">
        <is>
          <t>Risques acceptés sont documentés explicitement</t>
        </is>
      </c>
      <c r="D65" s="8" t="inlineStr">
        <is>
          <t>Oui</t>
        </is>
      </c>
      <c r="E65" s="8" t="inlineStr">
        <is>
          <t>/</t>
        </is>
      </c>
      <c r="F65" s="8" t="inlineStr">
        <is>
          <t>/</t>
        </is>
      </c>
      <c r="G65" s="3" t="n"/>
      <c r="H65" s="3" t="n"/>
    </row>
    <row r="66">
      <c r="A66" s="1" t="n">
        <v>65</v>
      </c>
      <c r="B66" s="1" t="inlineStr">
        <is>
          <t>A.8.1.3</t>
        </is>
      </c>
      <c r="C66" s="1" t="inlineStr">
        <is>
          <t>Actifs externes (cloud, tiers) inventoriés</t>
        </is>
      </c>
      <c r="D66" s="4" t="inlineStr">
        <is>
          <t>Oui</t>
        </is>
      </c>
      <c r="E66" s="8" t="inlineStr">
        <is>
          <t>/</t>
        </is>
      </c>
      <c r="F66" s="8" t="inlineStr">
        <is>
          <t>/</t>
        </is>
      </c>
      <c r="G66" s="3" t="n"/>
      <c r="H66" s="3" t="n"/>
    </row>
    <row r="67">
      <c r="A67" s="1" t="n">
        <v>66</v>
      </c>
      <c r="B67" s="1" t="inlineStr">
        <is>
          <t>A.9.1.2</t>
        </is>
      </c>
      <c r="C67" s="1" t="inlineStr">
        <is>
          <t>Exceptions à la politique d'accès sont approuvées</t>
        </is>
      </c>
      <c r="D67" s="4" t="inlineStr">
        <is>
          <t>Oui</t>
        </is>
      </c>
      <c r="E67" s="8" t="inlineStr">
        <is>
          <t>/</t>
        </is>
      </c>
      <c r="F67" s="8" t="inlineStr">
        <is>
          <t>/</t>
        </is>
      </c>
      <c r="G67" s="3" t="n"/>
      <c r="H67" s="3" t="n"/>
    </row>
    <row r="68">
      <c r="A68" s="1" t="n">
        <v>67</v>
      </c>
      <c r="B68" s="1" t="inlineStr">
        <is>
          <t>A.9.4.3</t>
        </is>
      </c>
      <c r="C68" s="1" t="inlineStr">
        <is>
          <t>Mécanismes MFA sont sécurisés (pas SMS si possible)</t>
        </is>
      </c>
      <c r="D68" s="4" t="inlineStr">
        <is>
          <t>Oui</t>
        </is>
      </c>
      <c r="E68" s="8" t="inlineStr">
        <is>
          <t>/</t>
        </is>
      </c>
      <c r="F68" s="8" t="inlineStr">
        <is>
          <t>/</t>
        </is>
      </c>
      <c r="G68" s="3" t="n"/>
      <c r="H68" s="3" t="n"/>
    </row>
    <row r="69">
      <c r="A69" s="1" t="n">
        <v>68</v>
      </c>
      <c r="B69" s="1" t="inlineStr">
        <is>
          <t>A.10.3.3</t>
        </is>
      </c>
      <c r="C69" s="1" t="inlineStr">
        <is>
          <t>Données au repos sont chiffrées (AES-256 minimum)</t>
        </is>
      </c>
      <c r="D69" s="8" t="inlineStr">
        <is>
          <t>/</t>
        </is>
      </c>
      <c r="E69" s="8" t="inlineStr">
        <is>
          <t>/</t>
        </is>
      </c>
      <c r="F69" s="8" t="inlineStr">
        <is>
          <t>Oui</t>
        </is>
      </c>
      <c r="G69" s="3" t="n"/>
      <c r="H69" s="3" t="n"/>
    </row>
    <row r="70">
      <c r="A70" s="1" t="n">
        <v>69</v>
      </c>
      <c r="B70" s="1" t="inlineStr">
        <is>
          <t>A.11.1.3</t>
        </is>
      </c>
      <c r="C70" s="1" t="inlineStr">
        <is>
          <t>Visiteurs sont escortés et contrôlés</t>
        </is>
      </c>
      <c r="D70" s="4" t="inlineStr">
        <is>
          <t>Oui</t>
        </is>
      </c>
      <c r="E70" s="8" t="inlineStr">
        <is>
          <t>/</t>
        </is>
      </c>
      <c r="F70" s="8" t="inlineStr">
        <is>
          <t>/</t>
        </is>
      </c>
      <c r="G70" s="3" t="n"/>
      <c r="H70" s="3" t="n"/>
    </row>
    <row r="71">
      <c r="A71" s="1" t="n">
        <v>70</v>
      </c>
      <c r="B71" s="1" t="inlineStr">
        <is>
          <t>A.12.2.2</t>
        </is>
      </c>
      <c r="C71" s="1" t="inlineStr">
        <is>
          <t>Règles pare-feu sont documentées et revisitées</t>
        </is>
      </c>
      <c r="D71" s="4" t="inlineStr">
        <is>
          <t>Oui</t>
        </is>
      </c>
      <c r="E71" s="8" t="inlineStr">
        <is>
          <t>/</t>
        </is>
      </c>
      <c r="F71" s="8" t="inlineStr">
        <is>
          <t>/</t>
        </is>
      </c>
      <c r="G71" s="3" t="n"/>
      <c r="H71" s="3" t="n"/>
    </row>
    <row r="72">
      <c r="D72">
        <f>COUNTIF(D2:D71,"Oui")</f>
        <v/>
      </c>
      <c r="E72">
        <f>COUNTIF(E2:E71,"Oui")</f>
        <v/>
      </c>
      <c r="F72">
        <f>COUNTIF(F2:F71,"Oui")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5" sqref="A5"/>
    </sheetView>
  </sheetViews>
  <sheetFormatPr baseColWidth="10" defaultColWidth="9" defaultRowHeight="14.5"/>
  <cols>
    <col width="29.81640625" customWidth="1" min="1" max="1"/>
  </cols>
  <sheetData>
    <row r="1" ht="15.5" customHeight="1">
      <c r="A1" s="10" t="inlineStr">
        <is>
          <t>RÉSUMÉ AUDIT ISO 27001</t>
        </is>
      </c>
    </row>
    <row r="2"/>
    <row r="3">
      <c r="A3" t="inlineStr">
        <is>
          <t>Statut Global</t>
        </is>
      </c>
      <c r="B3">
        <f>COUNTIF('Checklist Audit ISO 27001'!D:D,"Oui")/COUNTA('Checklist Audit ISO 27001'!D2:D71)*100</f>
        <v/>
      </c>
    </row>
    <row r="4">
      <c r="A4" s="9" t="inlineStr">
        <is>
          <t>critères évalués</t>
        </is>
      </c>
      <c r="B4">
        <f>COUNTIF('Checklist Audit ISO 27001'!D2:D71,"Oui")+COUNTIF('Checklist Audit ISO 27001'!E2:E71,"Oui")+COUNTIF('Checklist Audit ISO 27001'!F2:F71,"Oui")</f>
        <v/>
      </c>
    </row>
    <row r="5">
      <c r="A5" s="9" t="inlineStr">
        <is>
          <t>Statut avec partiel pris en compte</t>
        </is>
      </c>
      <c r="B5">
        <f>(COUNTIF('Checklist Audit ISO 27001'!D2:D71,"Oui")+0.5*COUNTIF('Checklist Audit ISO 27001'!E2:E71,"Oui"))/(COUNTIF('Checklist Audit ISO 27001'!D2:D71,"Oui")+COUNTIF('Checklist Audit ISO 27001'!E2:E71,"Oui")+COUNTIF('Checklist Audit ISO 27001'!F2:F71,"Oui"))*100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2026-06-01T21:43:00Z</dcterms:created>
  <dcterms:modified xmlns:dcterms="http://purl.org/dc/terms/" xmlns:xsi="http://www.w3.org/2001/XMLSchema-instance" xsi:type="dcterms:W3CDTF">2026-10-08T19:02:43Z</dcterms:modified>
  <cp:lastModifiedBy>PC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AE9E456B01034022A121EE5A6B786679_12</vt:lpwstr>
  </property>
  <property name="KSOProductBuildVer" fmtid="{D5CDD505-2E9C-101B-9397-08002B2CF9AE}" pid="3">
    <vt:lpwstr xmlns:vt="http://schemas.openxmlformats.org/officeDocument/2006/docPropsVTypes">1036-12.1.0.25862</vt:lpwstr>
  </property>
  <property name="CalculationRule" fmtid="{D5CDD505-2E9C-101B-9397-08002B2CF9AE}" pid="4">
    <vt:i4 xmlns:vt="http://schemas.openxmlformats.org/officeDocument/2006/docPropsVTypes">0</vt:i4>
  </property>
</Properties>
</file>